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aming Revenue\Table Games Revenue Reports\Tax Returns\Website Report\"/>
    </mc:Choice>
  </mc:AlternateContent>
  <xr:revisionPtr revIDLastSave="0" documentId="13_ncr:1_{6A621939-FF58-4F51-B2C9-8F06C97E40A8}" xr6:coauthVersionLast="45" xr6:coauthVersionMax="45" xr10:uidLastSave="{00000000-0000-0000-0000-000000000000}"/>
  <bookViews>
    <workbookView xWindow="-120" yWindow="-120" windowWidth="29040" windowHeight="15840" xr2:uid="{BE44E023-5E5B-467E-8EE4-EC8AFD094557}"/>
  </bookViews>
  <sheets>
    <sheet name="FY 2020-21" sheetId="1" r:id="rId1"/>
    <sheet name="Footnotes" sheetId="2" r:id="rId2"/>
  </sheets>
  <definedNames>
    <definedName name="_xlnm.Print_Area" localSheetId="1">Footnotes!$A$1:$F$7</definedName>
    <definedName name="_xlnm.Print_Area" localSheetId="0">'FY 2020-21'!$A$1:$P$394</definedName>
    <definedName name="_xlnm.Print_Titles" localSheetId="0">'FY 2020-21'!$A:$A,'FY 2020-21'!$1:$4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68" i="1" l="1"/>
  <c r="P368" i="1" s="1"/>
  <c r="O367" i="1"/>
  <c r="P367" i="1" s="1"/>
  <c r="O366" i="1"/>
  <c r="P366" i="1" s="1"/>
  <c r="O364" i="1"/>
  <c r="P364" i="1" s="1"/>
  <c r="O363" i="1"/>
  <c r="P363" i="1" s="1"/>
  <c r="O362" i="1"/>
  <c r="P362" i="1" s="1"/>
  <c r="O360" i="1"/>
  <c r="P360" i="1" s="1"/>
  <c r="O359" i="1"/>
  <c r="P359" i="1" s="1"/>
  <c r="O358" i="1"/>
  <c r="P358" i="1" s="1"/>
  <c r="O356" i="1"/>
  <c r="P356" i="1" s="1"/>
  <c r="O355" i="1"/>
  <c r="P355" i="1" s="1"/>
  <c r="O354" i="1"/>
  <c r="P354" i="1" s="1"/>
  <c r="O352" i="1"/>
  <c r="P352" i="1" s="1"/>
  <c r="O351" i="1"/>
  <c r="P351" i="1" s="1"/>
  <c r="O350" i="1"/>
  <c r="P350" i="1" s="1"/>
  <c r="O348" i="1"/>
  <c r="P348" i="1" s="1"/>
  <c r="O347" i="1"/>
  <c r="P347" i="1" s="1"/>
  <c r="O346" i="1"/>
  <c r="P346" i="1" s="1"/>
  <c r="O342" i="1" l="1"/>
  <c r="P342" i="1" s="1"/>
  <c r="O341" i="1"/>
  <c r="P341" i="1" s="1"/>
  <c r="O340" i="1"/>
  <c r="P340" i="1" s="1"/>
  <c r="O338" i="1"/>
  <c r="P338" i="1" s="1"/>
  <c r="O337" i="1"/>
  <c r="P337" i="1" s="1"/>
  <c r="O336" i="1"/>
  <c r="P336" i="1" s="1"/>
  <c r="O334" i="1"/>
  <c r="P334" i="1" s="1"/>
  <c r="O333" i="1"/>
  <c r="P333" i="1" s="1"/>
  <c r="O332" i="1"/>
  <c r="P332" i="1" s="1"/>
  <c r="O330" i="1"/>
  <c r="P330" i="1" s="1"/>
  <c r="O329" i="1"/>
  <c r="P329" i="1" s="1"/>
  <c r="O328" i="1"/>
  <c r="P328" i="1" s="1"/>
  <c r="O326" i="1"/>
  <c r="P326" i="1" s="1"/>
  <c r="O325" i="1"/>
  <c r="P325" i="1" s="1"/>
  <c r="O324" i="1"/>
  <c r="P324" i="1" s="1"/>
  <c r="O322" i="1"/>
  <c r="P322" i="1" s="1"/>
  <c r="O321" i="1"/>
  <c r="P321" i="1" s="1"/>
  <c r="O320" i="1"/>
  <c r="P320" i="1" s="1"/>
  <c r="O226" i="1" l="1"/>
  <c r="O394" i="1" l="1"/>
  <c r="P394" i="1" s="1"/>
  <c r="O393" i="1"/>
  <c r="P393" i="1" s="1"/>
  <c r="O392" i="1"/>
  <c r="P392" i="1" s="1"/>
  <c r="O390" i="1"/>
  <c r="P390" i="1" s="1"/>
  <c r="O389" i="1"/>
  <c r="P389" i="1" s="1"/>
  <c r="O388" i="1"/>
  <c r="P388" i="1" s="1"/>
  <c r="O386" i="1"/>
  <c r="P386" i="1" s="1"/>
  <c r="O385" i="1"/>
  <c r="P385" i="1" s="1"/>
  <c r="O384" i="1"/>
  <c r="P384" i="1" s="1"/>
  <c r="O382" i="1"/>
  <c r="P382" i="1" s="1"/>
  <c r="O381" i="1"/>
  <c r="P381" i="1" s="1"/>
  <c r="O380" i="1"/>
  <c r="P380" i="1" s="1"/>
  <c r="O378" i="1"/>
  <c r="P378" i="1" s="1"/>
  <c r="O377" i="1"/>
  <c r="P377" i="1" s="1"/>
  <c r="O376" i="1"/>
  <c r="P376" i="1" s="1"/>
  <c r="O374" i="1"/>
  <c r="P374" i="1" s="1"/>
  <c r="O373" i="1"/>
  <c r="P373" i="1" s="1"/>
  <c r="O372" i="1"/>
  <c r="P372" i="1" s="1"/>
  <c r="O316" i="1"/>
  <c r="P316" i="1" s="1"/>
  <c r="O315" i="1"/>
  <c r="P315" i="1" s="1"/>
  <c r="O314" i="1"/>
  <c r="P314" i="1" s="1"/>
  <c r="O312" i="1"/>
  <c r="P312" i="1" s="1"/>
  <c r="O311" i="1"/>
  <c r="P311" i="1" s="1"/>
  <c r="O310" i="1"/>
  <c r="P310" i="1" s="1"/>
  <c r="O308" i="1"/>
  <c r="P308" i="1" s="1"/>
  <c r="O307" i="1"/>
  <c r="P307" i="1" s="1"/>
  <c r="O306" i="1"/>
  <c r="P306" i="1" s="1"/>
  <c r="O304" i="1"/>
  <c r="P304" i="1" s="1"/>
  <c r="O303" i="1"/>
  <c r="P303" i="1" s="1"/>
  <c r="O302" i="1"/>
  <c r="P302" i="1" s="1"/>
  <c r="O300" i="1"/>
  <c r="P300" i="1" s="1"/>
  <c r="O299" i="1"/>
  <c r="P299" i="1" s="1"/>
  <c r="O298" i="1"/>
  <c r="P298" i="1" s="1"/>
  <c r="O296" i="1"/>
  <c r="P296" i="1" s="1"/>
  <c r="O295" i="1"/>
  <c r="P295" i="1" s="1"/>
  <c r="O294" i="1"/>
  <c r="P294" i="1" s="1"/>
  <c r="O290" i="1"/>
  <c r="P290" i="1" s="1"/>
  <c r="O289" i="1"/>
  <c r="P289" i="1" s="1"/>
  <c r="O288" i="1"/>
  <c r="P288" i="1" s="1"/>
  <c r="O286" i="1"/>
  <c r="P286" i="1" s="1"/>
  <c r="O285" i="1"/>
  <c r="P285" i="1" s="1"/>
  <c r="O284" i="1"/>
  <c r="P284" i="1" s="1"/>
  <c r="O282" i="1"/>
  <c r="P282" i="1" s="1"/>
  <c r="O281" i="1"/>
  <c r="P281" i="1" s="1"/>
  <c r="O280" i="1"/>
  <c r="P280" i="1" s="1"/>
  <c r="O278" i="1"/>
  <c r="P278" i="1" s="1"/>
  <c r="O277" i="1"/>
  <c r="P277" i="1" s="1"/>
  <c r="O276" i="1"/>
  <c r="P276" i="1" s="1"/>
  <c r="O274" i="1"/>
  <c r="P274" i="1" s="1"/>
  <c r="O273" i="1"/>
  <c r="P273" i="1" s="1"/>
  <c r="O272" i="1"/>
  <c r="P272" i="1" s="1"/>
  <c r="O270" i="1"/>
  <c r="P270" i="1" s="1"/>
  <c r="O269" i="1"/>
  <c r="P269" i="1" s="1"/>
  <c r="O268" i="1"/>
  <c r="P268" i="1" s="1"/>
  <c r="O264" i="1"/>
  <c r="P264" i="1" s="1"/>
  <c r="O263" i="1"/>
  <c r="P263" i="1" s="1"/>
  <c r="O262" i="1"/>
  <c r="P262" i="1" s="1"/>
  <c r="O260" i="1"/>
  <c r="P260" i="1" s="1"/>
  <c r="O259" i="1"/>
  <c r="P259" i="1" s="1"/>
  <c r="O258" i="1"/>
  <c r="P258" i="1" s="1"/>
  <c r="O256" i="1"/>
  <c r="P256" i="1" s="1"/>
  <c r="O255" i="1"/>
  <c r="P255" i="1" s="1"/>
  <c r="O254" i="1"/>
  <c r="P254" i="1" s="1"/>
  <c r="O252" i="1"/>
  <c r="P252" i="1" s="1"/>
  <c r="O251" i="1"/>
  <c r="P251" i="1" s="1"/>
  <c r="O250" i="1"/>
  <c r="P250" i="1" s="1"/>
  <c r="O248" i="1"/>
  <c r="P248" i="1" s="1"/>
  <c r="O247" i="1"/>
  <c r="P247" i="1" s="1"/>
  <c r="O246" i="1"/>
  <c r="P246" i="1" s="1"/>
  <c r="O244" i="1"/>
  <c r="P244" i="1" s="1"/>
  <c r="O243" i="1"/>
  <c r="P243" i="1" s="1"/>
  <c r="O242" i="1"/>
  <c r="P242" i="1" s="1"/>
  <c r="O238" i="1"/>
  <c r="P238" i="1" s="1"/>
  <c r="O237" i="1"/>
  <c r="P237" i="1" s="1"/>
  <c r="O236" i="1"/>
  <c r="P236" i="1" s="1"/>
  <c r="O234" i="1"/>
  <c r="P234" i="1" s="1"/>
  <c r="O233" i="1"/>
  <c r="P233" i="1" s="1"/>
  <c r="O232" i="1"/>
  <c r="P232" i="1" s="1"/>
  <c r="O230" i="1"/>
  <c r="P230" i="1" s="1"/>
  <c r="O229" i="1"/>
  <c r="P229" i="1" s="1"/>
  <c r="O228" i="1"/>
  <c r="P228" i="1" s="1"/>
  <c r="P226" i="1"/>
  <c r="O225" i="1"/>
  <c r="P225" i="1" s="1"/>
  <c r="O224" i="1"/>
  <c r="P224" i="1" s="1"/>
  <c r="O222" i="1"/>
  <c r="P222" i="1" s="1"/>
  <c r="O221" i="1"/>
  <c r="P221" i="1" s="1"/>
  <c r="O220" i="1"/>
  <c r="P220" i="1" s="1"/>
  <c r="O218" i="1"/>
  <c r="P218" i="1" s="1"/>
  <c r="O217" i="1"/>
  <c r="P217" i="1" s="1"/>
  <c r="O216" i="1"/>
  <c r="P216" i="1" s="1"/>
  <c r="O212" i="1"/>
  <c r="P212" i="1" s="1"/>
  <c r="O211" i="1"/>
  <c r="P211" i="1" s="1"/>
  <c r="O210" i="1"/>
  <c r="P210" i="1" s="1"/>
  <c r="O208" i="1"/>
  <c r="P208" i="1" s="1"/>
  <c r="O207" i="1"/>
  <c r="P207" i="1" s="1"/>
  <c r="O206" i="1"/>
  <c r="P206" i="1" s="1"/>
  <c r="O204" i="1"/>
  <c r="P204" i="1" s="1"/>
  <c r="O203" i="1"/>
  <c r="P203" i="1" s="1"/>
  <c r="O202" i="1"/>
  <c r="P202" i="1" s="1"/>
  <c r="O200" i="1"/>
  <c r="P200" i="1" s="1"/>
  <c r="O199" i="1"/>
  <c r="P199" i="1" s="1"/>
  <c r="O198" i="1"/>
  <c r="P198" i="1" s="1"/>
  <c r="O196" i="1"/>
  <c r="P196" i="1" s="1"/>
  <c r="O195" i="1"/>
  <c r="P195" i="1" s="1"/>
  <c r="O194" i="1"/>
  <c r="P194" i="1" s="1"/>
  <c r="O192" i="1"/>
  <c r="P192" i="1" s="1"/>
  <c r="O191" i="1"/>
  <c r="P191" i="1" s="1"/>
  <c r="O190" i="1"/>
  <c r="P190" i="1" s="1"/>
  <c r="O186" i="1"/>
  <c r="P186" i="1" s="1"/>
  <c r="O185" i="1"/>
  <c r="P185" i="1" s="1"/>
  <c r="O184" i="1"/>
  <c r="P184" i="1" s="1"/>
  <c r="O182" i="1"/>
  <c r="P182" i="1" s="1"/>
  <c r="O181" i="1"/>
  <c r="P181" i="1" s="1"/>
  <c r="O180" i="1"/>
  <c r="P180" i="1" s="1"/>
  <c r="O178" i="1"/>
  <c r="P178" i="1" s="1"/>
  <c r="O177" i="1"/>
  <c r="P177" i="1" s="1"/>
  <c r="O176" i="1"/>
  <c r="P176" i="1" s="1"/>
  <c r="O174" i="1"/>
  <c r="P174" i="1" s="1"/>
  <c r="O173" i="1"/>
  <c r="P173" i="1" s="1"/>
  <c r="O172" i="1"/>
  <c r="P172" i="1" s="1"/>
  <c r="O170" i="1"/>
  <c r="P170" i="1" s="1"/>
  <c r="O169" i="1"/>
  <c r="P169" i="1" s="1"/>
  <c r="O168" i="1"/>
  <c r="P168" i="1" s="1"/>
  <c r="O166" i="1"/>
  <c r="P166" i="1" s="1"/>
  <c r="O165" i="1"/>
  <c r="P165" i="1" s="1"/>
  <c r="O164" i="1"/>
  <c r="P164" i="1" s="1"/>
  <c r="O160" i="1"/>
  <c r="P160" i="1" s="1"/>
  <c r="O159" i="1"/>
  <c r="P159" i="1" s="1"/>
  <c r="O158" i="1"/>
  <c r="P158" i="1" s="1"/>
  <c r="O156" i="1"/>
  <c r="P156" i="1" s="1"/>
  <c r="O155" i="1"/>
  <c r="P155" i="1" s="1"/>
  <c r="O154" i="1"/>
  <c r="P154" i="1" s="1"/>
  <c r="O152" i="1"/>
  <c r="P152" i="1" s="1"/>
  <c r="O151" i="1"/>
  <c r="P151" i="1" s="1"/>
  <c r="O150" i="1"/>
  <c r="P150" i="1" s="1"/>
  <c r="O148" i="1"/>
  <c r="P148" i="1" s="1"/>
  <c r="O147" i="1"/>
  <c r="P147" i="1" s="1"/>
  <c r="O146" i="1"/>
  <c r="P146" i="1" s="1"/>
  <c r="O144" i="1"/>
  <c r="P144" i="1" s="1"/>
  <c r="O143" i="1"/>
  <c r="P143" i="1" s="1"/>
  <c r="O142" i="1"/>
  <c r="P142" i="1" s="1"/>
  <c r="O140" i="1"/>
  <c r="P140" i="1" s="1"/>
  <c r="O139" i="1"/>
  <c r="P139" i="1" s="1"/>
  <c r="O138" i="1"/>
  <c r="P138" i="1" s="1"/>
  <c r="O134" i="1"/>
  <c r="P134" i="1" s="1"/>
  <c r="O133" i="1"/>
  <c r="P133" i="1" s="1"/>
  <c r="O132" i="1"/>
  <c r="P132" i="1" s="1"/>
  <c r="O130" i="1"/>
  <c r="P130" i="1" s="1"/>
  <c r="O129" i="1"/>
  <c r="P129" i="1" s="1"/>
  <c r="O128" i="1"/>
  <c r="P128" i="1" s="1"/>
  <c r="O126" i="1"/>
  <c r="P126" i="1" s="1"/>
  <c r="O125" i="1"/>
  <c r="P125" i="1" s="1"/>
  <c r="O124" i="1"/>
  <c r="P124" i="1" s="1"/>
  <c r="O122" i="1"/>
  <c r="P122" i="1" s="1"/>
  <c r="O121" i="1"/>
  <c r="P121" i="1" s="1"/>
  <c r="O120" i="1"/>
  <c r="P120" i="1" s="1"/>
  <c r="O118" i="1"/>
  <c r="P118" i="1" s="1"/>
  <c r="O117" i="1"/>
  <c r="P117" i="1" s="1"/>
  <c r="O116" i="1"/>
  <c r="P116" i="1" s="1"/>
  <c r="O114" i="1"/>
  <c r="P114" i="1" s="1"/>
  <c r="O113" i="1"/>
  <c r="P113" i="1" s="1"/>
  <c r="O112" i="1"/>
  <c r="P112" i="1" s="1"/>
  <c r="O108" i="1"/>
  <c r="P108" i="1" s="1"/>
  <c r="O107" i="1"/>
  <c r="P107" i="1" s="1"/>
  <c r="O106" i="1"/>
  <c r="P106" i="1" s="1"/>
  <c r="O104" i="1"/>
  <c r="P104" i="1" s="1"/>
  <c r="O103" i="1"/>
  <c r="P103" i="1" s="1"/>
  <c r="O102" i="1"/>
  <c r="P102" i="1" s="1"/>
  <c r="O100" i="1"/>
  <c r="P100" i="1" s="1"/>
  <c r="O99" i="1"/>
  <c r="P99" i="1" s="1"/>
  <c r="O98" i="1"/>
  <c r="P98" i="1" s="1"/>
  <c r="O96" i="1"/>
  <c r="P96" i="1" s="1"/>
  <c r="O95" i="1"/>
  <c r="P95" i="1" s="1"/>
  <c r="O94" i="1"/>
  <c r="P94" i="1" s="1"/>
  <c r="O92" i="1"/>
  <c r="P92" i="1" s="1"/>
  <c r="O91" i="1"/>
  <c r="P91" i="1" s="1"/>
  <c r="O90" i="1"/>
  <c r="P90" i="1" s="1"/>
  <c r="O88" i="1"/>
  <c r="P88" i="1" s="1"/>
  <c r="O87" i="1"/>
  <c r="P87" i="1" s="1"/>
  <c r="O86" i="1"/>
  <c r="P86" i="1" s="1"/>
  <c r="O82" i="1"/>
  <c r="P82" i="1" s="1"/>
  <c r="O81" i="1"/>
  <c r="P81" i="1" s="1"/>
  <c r="O80" i="1"/>
  <c r="P80" i="1" s="1"/>
  <c r="O78" i="1"/>
  <c r="P78" i="1" s="1"/>
  <c r="O77" i="1"/>
  <c r="P77" i="1" s="1"/>
  <c r="O76" i="1"/>
  <c r="P76" i="1" s="1"/>
  <c r="O74" i="1"/>
  <c r="P74" i="1" s="1"/>
  <c r="O73" i="1"/>
  <c r="P73" i="1" s="1"/>
  <c r="O72" i="1"/>
  <c r="P72" i="1" s="1"/>
  <c r="O70" i="1"/>
  <c r="P70" i="1" s="1"/>
  <c r="O69" i="1"/>
  <c r="P69" i="1" s="1"/>
  <c r="O68" i="1"/>
  <c r="P68" i="1" s="1"/>
  <c r="O66" i="1"/>
  <c r="P66" i="1" s="1"/>
  <c r="O65" i="1"/>
  <c r="P65" i="1" s="1"/>
  <c r="O64" i="1"/>
  <c r="P64" i="1" s="1"/>
  <c r="O62" i="1"/>
  <c r="P62" i="1" s="1"/>
  <c r="O61" i="1"/>
  <c r="P61" i="1" s="1"/>
  <c r="O60" i="1"/>
  <c r="P60" i="1" s="1"/>
  <c r="O56" i="1"/>
  <c r="P56" i="1" s="1"/>
  <c r="O55" i="1"/>
  <c r="P55" i="1" s="1"/>
  <c r="O54" i="1"/>
  <c r="P54" i="1" s="1"/>
  <c r="O52" i="1"/>
  <c r="P52" i="1" s="1"/>
  <c r="O51" i="1"/>
  <c r="P51" i="1" s="1"/>
  <c r="O50" i="1"/>
  <c r="P50" i="1" s="1"/>
  <c r="O48" i="1"/>
  <c r="P48" i="1" s="1"/>
  <c r="O47" i="1"/>
  <c r="P47" i="1" s="1"/>
  <c r="O46" i="1"/>
  <c r="P46" i="1" s="1"/>
  <c r="O44" i="1"/>
  <c r="P44" i="1" s="1"/>
  <c r="O43" i="1"/>
  <c r="P43" i="1" s="1"/>
  <c r="O42" i="1"/>
  <c r="P42" i="1" s="1"/>
  <c r="O40" i="1"/>
  <c r="P40" i="1" s="1"/>
  <c r="O39" i="1"/>
  <c r="P39" i="1" s="1"/>
  <c r="O38" i="1"/>
  <c r="P38" i="1" s="1"/>
  <c r="O36" i="1"/>
  <c r="P36" i="1" s="1"/>
  <c r="O35" i="1"/>
  <c r="P35" i="1" s="1"/>
  <c r="O34" i="1"/>
  <c r="P34" i="1" s="1"/>
  <c r="O30" i="1"/>
  <c r="P30" i="1" s="1"/>
  <c r="O29" i="1"/>
  <c r="P29" i="1" s="1"/>
  <c r="O28" i="1"/>
  <c r="P28" i="1" s="1"/>
  <c r="O26" i="1"/>
  <c r="P26" i="1" s="1"/>
  <c r="O25" i="1"/>
  <c r="P25" i="1" s="1"/>
  <c r="O24" i="1"/>
  <c r="P24" i="1" s="1"/>
  <c r="O22" i="1"/>
  <c r="P22" i="1" s="1"/>
  <c r="O21" i="1"/>
  <c r="P21" i="1" s="1"/>
  <c r="O20" i="1"/>
  <c r="P20" i="1" s="1"/>
  <c r="O18" i="1"/>
  <c r="P18" i="1" s="1"/>
  <c r="O17" i="1"/>
  <c r="P17" i="1" s="1"/>
  <c r="O16" i="1"/>
  <c r="P16" i="1" s="1"/>
  <c r="O14" i="1"/>
  <c r="P14" i="1" s="1"/>
  <c r="O13" i="1"/>
  <c r="P13" i="1" s="1"/>
  <c r="O12" i="1"/>
  <c r="P12" i="1" s="1"/>
  <c r="O10" i="1"/>
  <c r="P10" i="1" s="1"/>
  <c r="O9" i="1"/>
  <c r="P9" i="1" s="1"/>
  <c r="O8" i="1"/>
  <c r="P8" i="1" s="1"/>
</calcChain>
</file>

<file path=xl/sharedStrings.xml><?xml version="1.0" encoding="utf-8"?>
<sst xmlns="http://schemas.openxmlformats.org/spreadsheetml/2006/main" count="405" uniqueCount="50">
  <si>
    <r>
      <t xml:space="preserve">    MONTHLY TABLE GAME REPORT </t>
    </r>
    <r>
      <rPr>
        <b/>
        <vertAlign val="superscript"/>
        <sz val="12"/>
        <rFont val="Calibri"/>
        <family val="2"/>
      </rPr>
      <t>1</t>
    </r>
  </si>
  <si>
    <t>Grand Total</t>
  </si>
  <si>
    <t>MOHEGAN SUN</t>
  </si>
  <si>
    <t>Total Table Games</t>
  </si>
  <si>
    <t>Gross Revenue</t>
  </si>
  <si>
    <r>
      <t xml:space="preserve">State Tax Due </t>
    </r>
    <r>
      <rPr>
        <vertAlign val="superscript"/>
        <sz val="12"/>
        <rFont val="Calibri"/>
        <family val="2"/>
      </rPr>
      <t>2</t>
    </r>
  </si>
  <si>
    <t>Local Share Assessment</t>
  </si>
  <si>
    <r>
      <t xml:space="preserve">Non-Banking Tables </t>
    </r>
    <r>
      <rPr>
        <b/>
        <vertAlign val="superscript"/>
        <sz val="12"/>
        <rFont val="Calibri"/>
        <family val="2"/>
      </rPr>
      <t>3</t>
    </r>
  </si>
  <si>
    <r>
      <t xml:space="preserve">Banking Tables </t>
    </r>
    <r>
      <rPr>
        <b/>
        <vertAlign val="superscript"/>
        <sz val="12"/>
        <rFont val="Calibri"/>
        <family val="2"/>
      </rPr>
      <t>4</t>
    </r>
  </si>
  <si>
    <r>
      <t xml:space="preserve">Electronic Tables </t>
    </r>
    <r>
      <rPr>
        <b/>
        <vertAlign val="superscript"/>
        <sz val="12"/>
        <rFont val="Calibri"/>
        <family val="2"/>
      </rPr>
      <t>5</t>
    </r>
  </si>
  <si>
    <t>Fully Automated Electronic Tables</t>
  </si>
  <si>
    <t>Hybrid Tables</t>
  </si>
  <si>
    <t>PARX</t>
  </si>
  <si>
    <t>HARRAH'S PHILADELPHIA</t>
  </si>
  <si>
    <t>PRESQUE ISLE</t>
  </si>
  <si>
    <t>THE MEADOWS</t>
  </si>
  <si>
    <t>MOUNT AIRY</t>
  </si>
  <si>
    <t>PENN NATIONAL</t>
  </si>
  <si>
    <t>WIND CREEK BETHLEHEM (FORMERLY SANDS)</t>
  </si>
  <si>
    <t>NEMACOLIN</t>
  </si>
  <si>
    <t>TOTAL</t>
  </si>
  <si>
    <t>FOOTNOTES:</t>
  </si>
  <si>
    <r>
      <t>1</t>
    </r>
    <r>
      <rPr>
        <i/>
        <sz val="16"/>
        <rFont val="Calibri"/>
        <family val="2"/>
      </rPr>
      <t xml:space="preserve"> Please note that the filing of amended returns can cause revisions in previously published statistics.</t>
    </r>
  </si>
  <si>
    <r>
      <t xml:space="preserve">3 </t>
    </r>
    <r>
      <rPr>
        <i/>
        <sz val="16"/>
        <rFont val="Calibri"/>
        <family val="2"/>
      </rPr>
      <t>Non-Banking table games are those in which a player competes against another player and the casino collects a rake.</t>
    </r>
  </si>
  <si>
    <r>
      <t>4</t>
    </r>
    <r>
      <rPr>
        <i/>
        <sz val="16"/>
        <rFont val="Calibri"/>
        <family val="2"/>
      </rPr>
      <t xml:space="preserve"> Banking table games are those in which a player competes against the casino rather than another player.</t>
    </r>
  </si>
  <si>
    <r>
      <t xml:space="preserve">5 </t>
    </r>
    <r>
      <rPr>
        <i/>
        <sz val="16"/>
        <rFont val="Calibri"/>
        <family val="2"/>
      </rPr>
      <t xml:space="preserve">Electronic gaming tables are defined by statute and generally include a mechanical, electrical or computerized contrivance, terminal, machine or other device which is available for play or operation by one or more players as a table game. </t>
    </r>
  </si>
  <si>
    <t>THE RIVERS-PITTSBURGH</t>
  </si>
  <si>
    <r>
      <t xml:space="preserve">                                                                                                 MONTHLY TABLE GAME REPORT </t>
    </r>
    <r>
      <rPr>
        <b/>
        <vertAlign val="superscript"/>
        <sz val="12"/>
        <rFont val="Calibri"/>
        <family val="2"/>
      </rPr>
      <t>1</t>
    </r>
  </si>
  <si>
    <r>
      <t xml:space="preserve">2 </t>
    </r>
    <r>
      <rPr>
        <i/>
        <sz val="16"/>
        <rFont val="Calibri"/>
        <family val="2"/>
      </rPr>
      <t xml:space="preserve">The state tax on banking, non-baning and electronic gaming tables is 14% for the first two years following commencement of table games operations at each licensed facility.  After the initial two years, the tax rate drops to 12%.  The state tax on fully automated electronic table games is currently 48%.  Both rates decline 2% on the second anniversary of the introdution of table games at that partictular facility.  Effective August 1, 2016, 2% tax increase on all casinos' gross table games revenue.  This additional 2% tax is set to expire on August 1, 2021. </t>
    </r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</si>
  <si>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</si>
  <si>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</si>
  <si>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</si>
  <si>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</si>
  <si>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</si>
  <si>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</si>
  <si>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</si>
  <si>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</si>
  <si>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</si>
  <si>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</si>
  <si>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</si>
  <si>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</si>
  <si>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 xml:space="preserve">WIND CREEK BETHLEHEM </t>
  </si>
  <si>
    <t>THE RIVERS-PHILADELPHIA</t>
  </si>
  <si>
    <t>FY 2020/2021 Total</t>
  </si>
  <si>
    <t>x</t>
  </si>
  <si>
    <t>ok</t>
  </si>
  <si>
    <t>VALLEY FORGE</t>
  </si>
  <si>
    <t>LIVE PITTSBURGH</t>
  </si>
  <si>
    <t>LIVE CASINO PHILADELPHIA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</si>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</sst>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%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b/>
      <u/>
      <sz val="12"/>
      <name val="Calibri"/>
      <family val="2"/>
    </font>
    <font>
      <u/>
      <sz val="12"/>
      <name val="Calibri"/>
      <family val="2"/>
    </font>
    <font>
      <b/>
      <u/>
      <sz val="12"/>
      <color indexed="8"/>
      <name val="Calibri"/>
      <family val="2"/>
    </font>
    <font>
      <vertAlign val="superscript"/>
      <sz val="12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i/>
      <vertAlign val="superscript"/>
      <sz val="16"/>
      <name val="Calibri"/>
      <family val="2"/>
    </font>
    <font>
      <i/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6" fillId="0" borderId="0" xfId="1" applyFont="1" applyBorder="1"/>
    <xf numFmtId="49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7" fillId="0" borderId="0" xfId="1" applyFont="1" applyBorder="1"/>
    <xf numFmtId="49" fontId="2" fillId="0" borderId="0" xfId="1" applyNumberFormat="1" applyFont="1" applyBorder="1" applyAlignment="1">
      <alignment horizontal="center"/>
    </xf>
    <xf numFmtId="0" fontId="2" fillId="0" borderId="0" xfId="1" applyFont="1" applyBorder="1"/>
    <xf numFmtId="0" fontId="8" fillId="0" borderId="0" xfId="1" applyFont="1"/>
    <xf numFmtId="0" fontId="6" fillId="0" borderId="0" xfId="1" applyFont="1"/>
    <xf numFmtId="0" fontId="4" fillId="0" borderId="0" xfId="1" applyFont="1" applyAlignment="1">
      <alignment horizontal="left"/>
    </xf>
    <xf numFmtId="1" fontId="4" fillId="0" borderId="0" xfId="2" applyNumberFormat="1" applyFont="1" applyFill="1" applyAlignment="1"/>
    <xf numFmtId="1" fontId="4" fillId="0" borderId="0" xfId="2" applyNumberFormat="1" applyFont="1" applyFill="1" applyAlignment="1">
      <alignment horizontal="right"/>
    </xf>
    <xf numFmtId="1" fontId="4" fillId="0" borderId="0" xfId="2" applyNumberFormat="1" applyFont="1" applyAlignment="1"/>
    <xf numFmtId="0" fontId="4" fillId="0" borderId="0" xfId="1" applyFont="1" applyAlignment="1"/>
    <xf numFmtId="0" fontId="4" fillId="0" borderId="0" xfId="1" applyFont="1"/>
    <xf numFmtId="0" fontId="2" fillId="0" borderId="0" xfId="1" applyFont="1" applyAlignment="1">
      <alignment horizontal="left" indent="1"/>
    </xf>
    <xf numFmtId="164" fontId="2" fillId="0" borderId="0" xfId="2" applyNumberFormat="1" applyFont="1" applyFill="1" applyAlignment="1"/>
    <xf numFmtId="164" fontId="2" fillId="0" borderId="0" xfId="2" applyNumberFormat="1" applyFont="1" applyFill="1" applyAlignment="1">
      <alignment horizontal="right"/>
    </xf>
    <xf numFmtId="165" fontId="2" fillId="0" borderId="0" xfId="2" applyNumberFormat="1" applyFont="1" applyAlignment="1"/>
    <xf numFmtId="164" fontId="2" fillId="0" borderId="0" xfId="1" applyNumberFormat="1" applyFont="1" applyAlignment="1"/>
    <xf numFmtId="0" fontId="2" fillId="0" borderId="0" xfId="1" applyFont="1" applyAlignment="1"/>
    <xf numFmtId="166" fontId="2" fillId="0" borderId="0" xfId="2" applyNumberFormat="1" applyFont="1" applyAlignment="1"/>
    <xf numFmtId="0" fontId="6" fillId="0" borderId="0" xfId="1" applyFont="1" applyAlignment="1"/>
    <xf numFmtId="8" fontId="2" fillId="0" borderId="0" xfId="1" applyNumberFormat="1" applyFont="1" applyAlignment="1"/>
    <xf numFmtId="166" fontId="2" fillId="0" borderId="0" xfId="2" applyNumberFormat="1" applyFont="1" applyAlignment="1">
      <alignment horizontal="right"/>
    </xf>
    <xf numFmtId="165" fontId="4" fillId="0" borderId="0" xfId="2" applyNumberFormat="1" applyFont="1" applyAlignment="1"/>
    <xf numFmtId="0" fontId="4" fillId="0" borderId="0" xfId="3" applyFont="1" applyAlignment="1">
      <alignment horizontal="left"/>
    </xf>
    <xf numFmtId="0" fontId="2" fillId="0" borderId="0" xfId="3" applyFont="1" applyAlignment="1">
      <alignment horizontal="left" indent="1"/>
    </xf>
    <xf numFmtId="164" fontId="6" fillId="0" borderId="0" xfId="1" applyNumberFormat="1" applyFont="1" applyFill="1" applyAlignment="1"/>
    <xf numFmtId="164" fontId="6" fillId="0" borderId="0" xfId="1" applyNumberFormat="1" applyFont="1" applyFill="1" applyAlignment="1">
      <alignment horizontal="right"/>
    </xf>
    <xf numFmtId="1" fontId="2" fillId="0" borderId="0" xfId="2" applyNumberFormat="1" applyFont="1" applyAlignment="1"/>
    <xf numFmtId="8" fontId="2" fillId="0" borderId="0" xfId="1" applyNumberFormat="1" applyFont="1" applyAlignment="1">
      <alignment horizontal="right"/>
    </xf>
    <xf numFmtId="6" fontId="2" fillId="0" borderId="0" xfId="2" applyNumberFormat="1" applyFont="1" applyFill="1" applyAlignment="1"/>
    <xf numFmtId="37" fontId="2" fillId="0" borderId="0" xfId="4" applyNumberFormat="1" applyFont="1" applyAlignment="1">
      <alignment horizontal="right"/>
    </xf>
    <xf numFmtId="43" fontId="2" fillId="0" borderId="0" xfId="5" applyFont="1" applyFill="1" applyAlignment="1"/>
    <xf numFmtId="167" fontId="4" fillId="0" borderId="0" xfId="5" applyNumberFormat="1" applyFont="1" applyFill="1" applyAlignment="1"/>
    <xf numFmtId="3" fontId="4" fillId="0" borderId="0" xfId="2" applyNumberFormat="1" applyFont="1" applyFill="1" applyAlignment="1"/>
    <xf numFmtId="167" fontId="4" fillId="0" borderId="0" xfId="5" applyNumberFormat="1" applyFont="1" applyFill="1" applyAlignment="1">
      <alignment horizontal="right"/>
    </xf>
    <xf numFmtId="164" fontId="2" fillId="0" borderId="0" xfId="2" applyNumberFormat="1" applyFont="1" applyFill="1"/>
    <xf numFmtId="1" fontId="4" fillId="0" borderId="0" xfId="2" applyNumberFormat="1" applyFont="1" applyFill="1"/>
    <xf numFmtId="1" fontId="2" fillId="0" borderId="0" xfId="1" applyNumberFormat="1" applyFont="1"/>
    <xf numFmtId="164" fontId="2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2" fillId="0" borderId="0" xfId="1" applyFont="1" applyAlignment="1">
      <alignment horizontal="right"/>
    </xf>
    <xf numFmtId="8" fontId="2" fillId="0" borderId="0" xfId="1" applyNumberFormat="1" applyFont="1"/>
    <xf numFmtId="166" fontId="2" fillId="0" borderId="0" xfId="2" applyNumberFormat="1" applyFont="1"/>
    <xf numFmtId="0" fontId="11" fillId="0" borderId="0" xfId="1" applyFont="1" applyAlignment="1">
      <alignment vertical="center" wrapText="1"/>
    </xf>
    <xf numFmtId="3" fontId="2" fillId="0" borderId="0" xfId="2" applyNumberFormat="1" applyFont="1" applyFill="1" applyAlignment="1"/>
    <xf numFmtId="164" fontId="6" fillId="0" borderId="0" xfId="1" applyNumberFormat="1" applyFont="1"/>
    <xf numFmtId="38" fontId="4" fillId="0" borderId="0" xfId="2" applyNumberFormat="1" applyFont="1" applyFill="1" applyAlignment="1"/>
    <xf numFmtId="0" fontId="4" fillId="0" borderId="0" xfId="1" applyFont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horizontal="left" wrapText="1"/>
    </xf>
    <xf numFmtId="0" fontId="11" fillId="0" borderId="0" xfId="1" applyFont="1" applyAlignment="1">
      <alignment wrapText="1"/>
    </xf>
  </cellXfs>
  <cellStyles count="6">
    <cellStyle name="Comma 2" xfId="5" xr:uid="{857B1BDC-B283-4089-B857-4EC14EC38904}"/>
    <cellStyle name="Currency 2" xfId="4" xr:uid="{EB852B52-D7B9-4079-9809-0D8BDC50E4DA}"/>
    <cellStyle name="Normal" xfId="0" builtinId="0"/>
    <cellStyle name="Normal 2" xfId="1" xr:uid="{8C87ACB9-6D2B-4A6B-AE9B-541913C3843B}"/>
    <cellStyle name="Normal 2 2" xfId="3" xr:uid="{4226E790-7201-409E-9F93-7FAA08A09B8D}"/>
    <cellStyle name="Percent 2" xfId="2" xr:uid="{ECC1778C-55A3-4C26-AA9C-535208673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142875</xdr:rowOff>
    </xdr:from>
    <xdr:to>
      <xdr:col>5</xdr:col>
      <xdr:colOff>1181099</xdr:colOff>
      <xdr:row>2</xdr:row>
      <xdr:rowOff>0</xdr:rowOff>
    </xdr:to>
    <xdr:pic>
      <xdr:nvPicPr>
        <xdr:cNvPr id="2" name="Picture 1" descr="LetterHead_Color-no-info">
          <a:extLst>
            <a:ext uri="{FF2B5EF4-FFF2-40B4-BE49-F238E27FC236}">
              <a16:creationId xmlns:a16="http://schemas.microsoft.com/office/drawing/2014/main" id="{6BED7B86-3B01-4D5D-A760-F9AD9B10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2875"/>
          <a:ext cx="4857749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0</xdr:row>
      <xdr:rowOff>142875</xdr:rowOff>
    </xdr:from>
    <xdr:to>
      <xdr:col>12</xdr:col>
      <xdr:colOff>123825</xdr:colOff>
      <xdr:row>1</xdr:row>
      <xdr:rowOff>219075</xdr:rowOff>
    </xdr:to>
    <xdr:pic>
      <xdr:nvPicPr>
        <xdr:cNvPr id="3" name="Picture 2" descr="LetterHead_Color-no-info">
          <a:extLst>
            <a:ext uri="{FF2B5EF4-FFF2-40B4-BE49-F238E27FC236}">
              <a16:creationId xmlns:a16="http://schemas.microsoft.com/office/drawing/2014/main" id="{87A59196-0916-492C-BEA8-3A8FD767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7375" y="142875"/>
          <a:ext cx="513397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4E30-0243-4321-91E0-C477EC3C309E}">
  <dimension ref="A1:W496"/>
  <sheetViews>
    <sheetView tabSelected="1" zoomScaleNormal="100" zoomScaleSheetLayoutView="75" workbookViewId="0">
      <pane xSplit="1" topLeftCell="H1" activePane="topRight" state="frozen"/>
      <selection pane="topRight" activeCell="S15" sqref="S15"/>
    </sheetView>
  </sheetViews>
  <sheetFormatPr defaultColWidth="9.140625" defaultRowHeight="15.75" x14ac:dyDescent="0.25"/>
  <cols>
    <col min="1" max="1" width="46.5703125" style="3" bestFit="1" customWidth="1"/>
    <col min="2" max="8" width="20.7109375" style="3" customWidth="1"/>
    <col min="9" max="9" width="20.7109375" style="4" customWidth="1"/>
    <col min="10" max="13" width="20.7109375" style="3" customWidth="1"/>
    <col min="14" max="14" width="2.85546875" style="3" customWidth="1"/>
    <col min="15" max="16" width="20.7109375" style="3" customWidth="1"/>
    <col min="17" max="17" width="25" style="3" hidden="1" customWidth="1"/>
    <col min="18" max="18" width="0" style="3" hidden="1" customWidth="1"/>
    <col min="19" max="19" width="15.140625" style="3" customWidth="1"/>
    <col min="20" max="16384" width="9.140625" style="3"/>
  </cols>
  <sheetData>
    <row r="1" spans="1:23" ht="58.5" customHeight="1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</row>
    <row r="2" spans="1:23" ht="18.75" customHeight="1" x14ac:dyDescent="0.25"/>
    <row r="3" spans="1:23" ht="31.5" customHeight="1" x14ac:dyDescent="0.25">
      <c r="A3" s="57" t="s">
        <v>27</v>
      </c>
      <c r="B3" s="57"/>
      <c r="C3" s="57"/>
      <c r="D3" s="57"/>
      <c r="E3" s="57"/>
      <c r="F3" s="57"/>
      <c r="G3" s="57"/>
      <c r="H3" s="57" t="s">
        <v>0</v>
      </c>
      <c r="I3" s="57"/>
      <c r="J3" s="57"/>
      <c r="K3" s="57"/>
      <c r="L3" s="57"/>
      <c r="M3" s="57"/>
      <c r="N3" s="57"/>
    </row>
    <row r="4" spans="1:23" s="8" customFormat="1" ht="23.25" customHeight="1" x14ac:dyDescent="0.25">
      <c r="A4" s="5"/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/>
      <c r="O4" s="6" t="s">
        <v>43</v>
      </c>
      <c r="P4" s="6" t="s">
        <v>1</v>
      </c>
      <c r="Q4" s="7" t="s">
        <v>1</v>
      </c>
    </row>
    <row r="5" spans="1:23" s="11" customFormat="1" ht="16.5" customHeight="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23" ht="15.75" customHeight="1" x14ac:dyDescent="0.25">
      <c r="A6" s="12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23" s="19" customFormat="1" ht="15.75" customHeight="1" x14ac:dyDescent="0.25">
      <c r="A7" s="14" t="s">
        <v>3</v>
      </c>
      <c r="B7" s="15">
        <v>65</v>
      </c>
      <c r="C7" s="40">
        <v>65</v>
      </c>
      <c r="D7" s="15">
        <v>65</v>
      </c>
      <c r="E7" s="15">
        <v>64.2</v>
      </c>
      <c r="F7" s="15">
        <v>65</v>
      </c>
      <c r="G7" s="15">
        <v>65</v>
      </c>
      <c r="H7" s="15">
        <v>65</v>
      </c>
      <c r="I7" s="15">
        <v>65</v>
      </c>
      <c r="J7" s="15">
        <v>65</v>
      </c>
      <c r="K7" s="16">
        <v>65</v>
      </c>
      <c r="L7" s="15">
        <v>65</v>
      </c>
      <c r="M7" s="15">
        <v>65</v>
      </c>
      <c r="N7" s="17"/>
      <c r="O7" s="15"/>
      <c r="P7" s="15"/>
      <c r="Q7" s="18"/>
      <c r="R7" s="18"/>
      <c r="S7" s="18"/>
      <c r="T7" s="18"/>
      <c r="U7" s="18"/>
      <c r="V7" s="18"/>
      <c r="W7" s="18"/>
    </row>
    <row r="8" spans="1:23" ht="15.75" customHeight="1" x14ac:dyDescent="0.25">
      <c r="A8" s="20" t="s">
        <v>4</v>
      </c>
      <c r="B8" s="21">
        <v>1898025.96</v>
      </c>
      <c r="C8" s="21">
        <v>2972970.44</v>
      </c>
      <c r="D8" s="21">
        <v>2378625.2599999998</v>
      </c>
      <c r="E8" s="21">
        <v>2339911.7999999998</v>
      </c>
      <c r="F8" s="21">
        <v>1915766.6699999997</v>
      </c>
      <c r="G8" s="21">
        <v>701147.64</v>
      </c>
      <c r="H8" s="21">
        <v>1914541.02</v>
      </c>
      <c r="I8" s="21">
        <v>2100493.25</v>
      </c>
      <c r="J8" s="21">
        <v>3486066.5500000003</v>
      </c>
      <c r="K8" s="22">
        <v>3149676.13</v>
      </c>
      <c r="L8" s="21">
        <v>3205377.62</v>
      </c>
      <c r="M8" s="21">
        <v>2325468.4899999998</v>
      </c>
      <c r="N8" s="23"/>
      <c r="O8" s="21">
        <f>SUM(B8:M8)</f>
        <v>28388070.829999998</v>
      </c>
      <c r="P8" s="21">
        <f>O8+Q8</f>
        <v>434423617.5999999</v>
      </c>
      <c r="Q8" s="24">
        <v>406035546.76999992</v>
      </c>
      <c r="R8" s="24"/>
      <c r="S8" s="24"/>
      <c r="T8" s="25"/>
      <c r="U8" s="25"/>
      <c r="V8" s="25"/>
      <c r="W8" s="25"/>
    </row>
    <row r="9" spans="1:23" ht="15.75" customHeight="1" x14ac:dyDescent="0.25">
      <c r="A9" s="20" t="s">
        <v>5</v>
      </c>
      <c r="B9" s="21">
        <v>265723.63000000006</v>
      </c>
      <c r="C9" s="21">
        <v>416215.86</v>
      </c>
      <c r="D9" s="21">
        <v>333007.51</v>
      </c>
      <c r="E9" s="21">
        <v>327587.64</v>
      </c>
      <c r="F9" s="21">
        <v>268207.34000000003</v>
      </c>
      <c r="G9" s="21">
        <v>98160.670000000013</v>
      </c>
      <c r="H9" s="21">
        <v>268035.76</v>
      </c>
      <c r="I9" s="21">
        <v>294069.05000000005</v>
      </c>
      <c r="J9" s="21">
        <v>488049.31999999995</v>
      </c>
      <c r="K9" s="22">
        <v>440954.66000000003</v>
      </c>
      <c r="L9" s="21">
        <v>448752.86</v>
      </c>
      <c r="M9" s="21">
        <v>325565.58999999997</v>
      </c>
      <c r="N9" s="26"/>
      <c r="O9" s="21">
        <f>SUM(B9:M9)</f>
        <v>3974329.8899999997</v>
      </c>
      <c r="P9" s="21">
        <f t="shared" ref="P9:P72" si="0">O9+Q9</f>
        <v>57107377.700000003</v>
      </c>
      <c r="Q9" s="24">
        <v>53133047.810000002</v>
      </c>
      <c r="R9" s="24"/>
      <c r="S9" s="24"/>
      <c r="T9" s="25"/>
      <c r="U9" s="25"/>
      <c r="V9" s="25"/>
      <c r="W9" s="25"/>
    </row>
    <row r="10" spans="1:23" ht="15.75" customHeight="1" x14ac:dyDescent="0.25">
      <c r="A10" s="20" t="s">
        <v>6</v>
      </c>
      <c r="B10" s="21">
        <v>37960.51</v>
      </c>
      <c r="C10" s="21">
        <v>59459.409999999996</v>
      </c>
      <c r="D10" s="21">
        <v>47572.51</v>
      </c>
      <c r="E10" s="21">
        <v>46798.25</v>
      </c>
      <c r="F10" s="21">
        <v>38315.339999999997</v>
      </c>
      <c r="G10" s="21">
        <v>14022.95</v>
      </c>
      <c r="H10" s="21">
        <v>38290.83</v>
      </c>
      <c r="I10" s="21">
        <v>42009.869999999995</v>
      </c>
      <c r="J10" s="21">
        <v>69721.33</v>
      </c>
      <c r="K10" s="22">
        <v>62993.51</v>
      </c>
      <c r="L10" s="21">
        <v>64107.569999999992</v>
      </c>
      <c r="M10" s="21">
        <v>46509.37</v>
      </c>
      <c r="N10" s="26"/>
      <c r="O10" s="21">
        <f>SUM(B10:M10)</f>
        <v>567761.45000000007</v>
      </c>
      <c r="P10" s="21">
        <f t="shared" si="0"/>
        <v>8688472.7199999988</v>
      </c>
      <c r="Q10" s="24">
        <v>8120711.2699999986</v>
      </c>
      <c r="R10" s="24"/>
      <c r="S10" s="24"/>
      <c r="T10" s="25"/>
      <c r="U10" s="25"/>
      <c r="V10" s="25"/>
      <c r="W10" s="25"/>
    </row>
    <row r="11" spans="1:23" s="19" customFormat="1" ht="15.75" customHeight="1" x14ac:dyDescent="0.25">
      <c r="A11" s="14" t="s">
        <v>7</v>
      </c>
      <c r="B11" s="15">
        <v>5.8</v>
      </c>
      <c r="C11" s="15">
        <v>5</v>
      </c>
      <c r="D11" s="15">
        <v>5</v>
      </c>
      <c r="E11" s="15">
        <v>7.4</v>
      </c>
      <c r="F11" s="15">
        <v>9</v>
      </c>
      <c r="G11" s="15">
        <v>9</v>
      </c>
      <c r="H11" s="15">
        <v>9</v>
      </c>
      <c r="I11" s="15">
        <v>9</v>
      </c>
      <c r="J11" s="15">
        <v>9</v>
      </c>
      <c r="K11" s="16">
        <v>9</v>
      </c>
      <c r="L11" s="15">
        <v>9</v>
      </c>
      <c r="M11" s="15">
        <v>9</v>
      </c>
      <c r="N11" s="27"/>
      <c r="O11" s="15"/>
      <c r="P11" s="21"/>
      <c r="Q11" s="24"/>
      <c r="R11" s="24"/>
      <c r="S11" s="24"/>
      <c r="T11" s="18"/>
      <c r="U11" s="18"/>
      <c r="V11" s="18"/>
      <c r="W11" s="18"/>
    </row>
    <row r="12" spans="1:23" ht="15.75" customHeight="1" x14ac:dyDescent="0.25">
      <c r="A12" s="20" t="s">
        <v>4</v>
      </c>
      <c r="B12" s="21">
        <v>0</v>
      </c>
      <c r="C12" s="21">
        <v>0</v>
      </c>
      <c r="D12" s="21">
        <v>0</v>
      </c>
      <c r="E12" s="21">
        <v>62871</v>
      </c>
      <c r="F12" s="21">
        <v>93482</v>
      </c>
      <c r="G12" s="21">
        <v>38339</v>
      </c>
      <c r="H12" s="21">
        <v>129275</v>
      </c>
      <c r="I12" s="21">
        <v>142308</v>
      </c>
      <c r="J12" s="21">
        <v>191092</v>
      </c>
      <c r="K12" s="22">
        <v>181406</v>
      </c>
      <c r="L12" s="21">
        <v>178899.25</v>
      </c>
      <c r="M12" s="21">
        <v>168387.01</v>
      </c>
      <c r="N12" s="28"/>
      <c r="O12" s="21">
        <f>SUM(B12:M12)</f>
        <v>1186059.26</v>
      </c>
      <c r="P12" s="21">
        <f t="shared" si="0"/>
        <v>31553375.830000002</v>
      </c>
      <c r="Q12" s="24">
        <v>30367316.57</v>
      </c>
      <c r="R12" s="24"/>
      <c r="S12" s="24"/>
      <c r="T12" s="25"/>
      <c r="U12" s="25"/>
      <c r="V12" s="25"/>
      <c r="W12" s="25"/>
    </row>
    <row r="13" spans="1:23" s="19" customFormat="1" ht="15.75" customHeight="1" x14ac:dyDescent="0.25">
      <c r="A13" s="20" t="s">
        <v>5</v>
      </c>
      <c r="B13" s="21">
        <v>0</v>
      </c>
      <c r="C13" s="21">
        <v>0</v>
      </c>
      <c r="D13" s="21">
        <v>0</v>
      </c>
      <c r="E13" s="21">
        <v>8801.94</v>
      </c>
      <c r="F13" s="21">
        <v>13087.48</v>
      </c>
      <c r="G13" s="21">
        <v>5367.46</v>
      </c>
      <c r="H13" s="21">
        <v>18098.5</v>
      </c>
      <c r="I13" s="21">
        <v>19923.120000000003</v>
      </c>
      <c r="J13" s="21">
        <v>26752.880000000001</v>
      </c>
      <c r="K13" s="22">
        <v>25396.84</v>
      </c>
      <c r="L13" s="21">
        <v>25045.899999999998</v>
      </c>
      <c r="M13" s="21">
        <v>23574.18</v>
      </c>
      <c r="N13" s="27"/>
      <c r="O13" s="21">
        <f>SUM(B13:M13)</f>
        <v>166048.29999999999</v>
      </c>
      <c r="P13" s="21">
        <f t="shared" si="0"/>
        <v>4141504.89</v>
      </c>
      <c r="Q13" s="24">
        <v>3975456.5900000003</v>
      </c>
      <c r="R13" s="24"/>
      <c r="S13" s="24"/>
      <c r="T13" s="18"/>
      <c r="U13" s="18"/>
      <c r="V13" s="18"/>
      <c r="W13" s="18"/>
    </row>
    <row r="14" spans="1:23" ht="15.75" customHeight="1" x14ac:dyDescent="0.25">
      <c r="A14" s="20" t="s">
        <v>6</v>
      </c>
      <c r="B14" s="21">
        <v>0</v>
      </c>
      <c r="C14" s="21">
        <v>0</v>
      </c>
      <c r="D14" s="21">
        <v>0</v>
      </c>
      <c r="E14" s="21">
        <v>1257.42</v>
      </c>
      <c r="F14" s="21">
        <v>1869.64</v>
      </c>
      <c r="G14" s="21">
        <v>766.78</v>
      </c>
      <c r="H14" s="21">
        <v>2585.5</v>
      </c>
      <c r="I14" s="21">
        <v>2846.16</v>
      </c>
      <c r="J14" s="21">
        <v>3821.8399999999997</v>
      </c>
      <c r="K14" s="22">
        <v>3628.12</v>
      </c>
      <c r="L14" s="21">
        <v>3577.9900000000007</v>
      </c>
      <c r="M14" s="21">
        <v>3367.74</v>
      </c>
      <c r="N14" s="28"/>
      <c r="O14" s="21">
        <f>SUM(B14:M14)</f>
        <v>23721.190000000002</v>
      </c>
      <c r="P14" s="21">
        <f t="shared" si="0"/>
        <v>631067.52</v>
      </c>
      <c r="Q14" s="24">
        <v>607346.33000000007</v>
      </c>
      <c r="R14" s="24"/>
      <c r="S14" s="24"/>
      <c r="T14" s="25"/>
      <c r="U14" s="25"/>
      <c r="V14" s="25"/>
      <c r="W14" s="25"/>
    </row>
    <row r="15" spans="1:23" s="19" customFormat="1" ht="15.75" customHeight="1" x14ac:dyDescent="0.25">
      <c r="A15" s="14" t="s">
        <v>8</v>
      </c>
      <c r="B15" s="15">
        <v>55.2</v>
      </c>
      <c r="C15" s="15">
        <v>56</v>
      </c>
      <c r="D15" s="15">
        <v>56</v>
      </c>
      <c r="E15" s="15">
        <v>52.8</v>
      </c>
      <c r="F15" s="15">
        <v>52</v>
      </c>
      <c r="G15" s="15">
        <v>52</v>
      </c>
      <c r="H15" s="15">
        <v>52</v>
      </c>
      <c r="I15" s="15">
        <v>52</v>
      </c>
      <c r="J15" s="15">
        <v>52</v>
      </c>
      <c r="K15" s="16">
        <v>52</v>
      </c>
      <c r="L15" s="15">
        <v>52</v>
      </c>
      <c r="M15" s="15">
        <v>52</v>
      </c>
      <c r="N15" s="27"/>
      <c r="O15" s="15"/>
      <c r="P15" s="21"/>
      <c r="Q15" s="24"/>
      <c r="R15" s="24"/>
      <c r="S15" s="24"/>
      <c r="T15" s="18"/>
      <c r="U15" s="18"/>
      <c r="V15" s="18"/>
      <c r="W15" s="18"/>
    </row>
    <row r="16" spans="1:23" ht="15.75" customHeight="1" x14ac:dyDescent="0.25">
      <c r="A16" s="20" t="s">
        <v>4</v>
      </c>
      <c r="B16" s="21">
        <v>1755487.9400000002</v>
      </c>
      <c r="C16" s="21">
        <v>2746520.2</v>
      </c>
      <c r="D16" s="21">
        <v>2174320.5099999998</v>
      </c>
      <c r="E16" s="21">
        <v>2093310.6900000002</v>
      </c>
      <c r="F16" s="21">
        <v>1687382.24</v>
      </c>
      <c r="G16" s="21">
        <v>595233.5</v>
      </c>
      <c r="H16" s="21">
        <v>1669050.04</v>
      </c>
      <c r="I16" s="21">
        <v>1898087.3199999998</v>
      </c>
      <c r="J16" s="21">
        <v>3001504.4899999998</v>
      </c>
      <c r="K16" s="22">
        <v>2650067.9499999997</v>
      </c>
      <c r="L16" s="21">
        <v>2688121.16</v>
      </c>
      <c r="M16" s="21">
        <v>1973669.9400000002</v>
      </c>
      <c r="N16" s="29"/>
      <c r="O16" s="21">
        <f t="shared" ref="O16:O26" si="1">SUM(B16:M16)</f>
        <v>24932755.98</v>
      </c>
      <c r="P16" s="21">
        <f t="shared" si="0"/>
        <v>393417950.86000007</v>
      </c>
      <c r="Q16" s="24">
        <v>368485194.88000005</v>
      </c>
      <c r="R16" s="24"/>
      <c r="S16" s="24"/>
      <c r="T16" s="25"/>
      <c r="U16" s="25"/>
      <c r="V16" s="25"/>
      <c r="W16" s="25"/>
    </row>
    <row r="17" spans="1:23" s="19" customFormat="1" ht="15.75" customHeight="1" x14ac:dyDescent="0.25">
      <c r="A17" s="20" t="s">
        <v>5</v>
      </c>
      <c r="B17" s="21">
        <v>245768.31</v>
      </c>
      <c r="C17" s="21">
        <v>384512.83</v>
      </c>
      <c r="D17" s="21">
        <v>304404.86</v>
      </c>
      <c r="E17" s="21">
        <v>293063.49</v>
      </c>
      <c r="F17" s="21">
        <v>236233.52000000002</v>
      </c>
      <c r="G17" s="21">
        <v>83332.69</v>
      </c>
      <c r="H17" s="21">
        <v>233667.01</v>
      </c>
      <c r="I17" s="21">
        <v>265732.22000000003</v>
      </c>
      <c r="J17" s="21">
        <v>420210.63</v>
      </c>
      <c r="K17" s="22">
        <v>371009.51</v>
      </c>
      <c r="L17" s="21">
        <v>376336.95999999996</v>
      </c>
      <c r="M17" s="21">
        <v>276313.8</v>
      </c>
      <c r="N17" s="27"/>
      <c r="O17" s="21">
        <f t="shared" si="1"/>
        <v>3490585.83</v>
      </c>
      <c r="P17" s="21">
        <f t="shared" si="0"/>
        <v>51648568.239999995</v>
      </c>
      <c r="Q17" s="24">
        <v>48157982.409999996</v>
      </c>
      <c r="R17" s="24"/>
      <c r="S17" s="24"/>
      <c r="T17" s="18"/>
      <c r="U17" s="18"/>
      <c r="V17" s="18"/>
      <c r="W17" s="18"/>
    </row>
    <row r="18" spans="1:23" ht="15.75" customHeight="1" x14ac:dyDescent="0.25">
      <c r="A18" s="20" t="s">
        <v>6</v>
      </c>
      <c r="B18" s="21">
        <v>35109.760000000002</v>
      </c>
      <c r="C18" s="21">
        <v>54930.41</v>
      </c>
      <c r="D18" s="21">
        <v>43486.41</v>
      </c>
      <c r="E18" s="21">
        <v>41866.22</v>
      </c>
      <c r="F18" s="21">
        <v>33747.649999999994</v>
      </c>
      <c r="G18" s="21">
        <v>11904.67</v>
      </c>
      <c r="H18" s="21">
        <v>33381.01</v>
      </c>
      <c r="I18" s="21">
        <v>37961.749999999993</v>
      </c>
      <c r="J18" s="21">
        <v>60030.09</v>
      </c>
      <c r="K18" s="22">
        <v>53001.35</v>
      </c>
      <c r="L18" s="21">
        <v>53762.43</v>
      </c>
      <c r="M18" s="21">
        <v>39473.4</v>
      </c>
      <c r="N18" s="26"/>
      <c r="O18" s="21">
        <f t="shared" si="1"/>
        <v>498655.14999999997</v>
      </c>
      <c r="P18" s="21">
        <f t="shared" si="0"/>
        <v>7868359.3500000015</v>
      </c>
      <c r="Q18" s="24">
        <v>7369704.2000000011</v>
      </c>
      <c r="R18" s="24"/>
      <c r="S18" s="24"/>
      <c r="T18" s="25"/>
      <c r="U18" s="25"/>
      <c r="V18" s="25"/>
      <c r="W18" s="25"/>
    </row>
    <row r="19" spans="1:23" ht="15.75" customHeight="1" x14ac:dyDescent="0.25">
      <c r="A19" s="14" t="s">
        <v>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6">
        <v>0</v>
      </c>
      <c r="L19" s="16">
        <v>0</v>
      </c>
      <c r="M19" s="15">
        <v>0</v>
      </c>
      <c r="N19" s="27"/>
      <c r="O19" s="15"/>
      <c r="P19" s="21"/>
      <c r="Q19" s="24"/>
      <c r="R19" s="24"/>
      <c r="S19" s="24"/>
      <c r="T19" s="25"/>
      <c r="U19" s="25"/>
      <c r="V19" s="25"/>
      <c r="W19" s="25"/>
    </row>
    <row r="20" spans="1:23" ht="15.75" customHeight="1" x14ac:dyDescent="0.25">
      <c r="A20" s="20" t="s">
        <v>4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2">
        <v>0</v>
      </c>
      <c r="L20" s="21">
        <v>0</v>
      </c>
      <c r="M20" s="21">
        <v>0</v>
      </c>
      <c r="N20" s="27"/>
      <c r="O20" s="21">
        <f t="shared" si="1"/>
        <v>0</v>
      </c>
      <c r="P20" s="21">
        <f t="shared" si="0"/>
        <v>0</v>
      </c>
      <c r="Q20" s="24">
        <v>0</v>
      </c>
      <c r="R20" s="24"/>
      <c r="S20" s="24"/>
      <c r="T20" s="25"/>
      <c r="U20" s="25"/>
      <c r="V20" s="25"/>
      <c r="W20" s="25"/>
    </row>
    <row r="21" spans="1:23" s="19" customFormat="1" ht="15.75" customHeight="1" x14ac:dyDescent="0.25">
      <c r="A21" s="20" t="s">
        <v>5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2">
        <v>0</v>
      </c>
      <c r="L21" s="21">
        <v>0</v>
      </c>
      <c r="M21" s="21">
        <v>0</v>
      </c>
      <c r="N21" s="17"/>
      <c r="O21" s="21">
        <f t="shared" si="1"/>
        <v>0</v>
      </c>
      <c r="P21" s="21">
        <f t="shared" si="0"/>
        <v>0</v>
      </c>
      <c r="Q21" s="24">
        <v>0</v>
      </c>
      <c r="R21" s="24"/>
      <c r="S21" s="24"/>
      <c r="T21" s="18"/>
      <c r="U21" s="18"/>
      <c r="V21" s="18"/>
      <c r="W21" s="18"/>
    </row>
    <row r="22" spans="1:23" s="19" customFormat="1" ht="15.75" customHeight="1" x14ac:dyDescent="0.25">
      <c r="A22" s="20" t="s">
        <v>6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2">
        <v>0</v>
      </c>
      <c r="L22" s="21">
        <v>0</v>
      </c>
      <c r="M22" s="21">
        <v>0</v>
      </c>
      <c r="N22" s="30"/>
      <c r="O22" s="21">
        <f t="shared" si="1"/>
        <v>0</v>
      </c>
      <c r="P22" s="21">
        <f t="shared" si="0"/>
        <v>0</v>
      </c>
      <c r="Q22" s="24">
        <v>0</v>
      </c>
      <c r="R22" s="24"/>
      <c r="S22" s="24"/>
      <c r="T22" s="18"/>
      <c r="U22" s="18"/>
      <c r="V22" s="18"/>
      <c r="W22" s="18"/>
    </row>
    <row r="23" spans="1:23" ht="15.75" customHeight="1" x14ac:dyDescent="0.25">
      <c r="A23" s="14" t="s">
        <v>10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6">
        <v>0</v>
      </c>
      <c r="L23" s="16">
        <v>0</v>
      </c>
      <c r="M23" s="15">
        <v>0</v>
      </c>
      <c r="N23" s="26"/>
      <c r="O23" s="15"/>
      <c r="P23" s="21"/>
      <c r="Q23" s="24"/>
      <c r="R23" s="24"/>
      <c r="S23" s="24"/>
      <c r="T23" s="25"/>
      <c r="U23" s="25"/>
      <c r="V23" s="25"/>
      <c r="W23" s="25"/>
    </row>
    <row r="24" spans="1:23" ht="15.75" customHeight="1" x14ac:dyDescent="0.25">
      <c r="A24" s="20" t="s">
        <v>4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2">
        <v>0</v>
      </c>
      <c r="L24" s="21">
        <v>0</v>
      </c>
      <c r="M24" s="21">
        <v>0</v>
      </c>
      <c r="N24" s="26"/>
      <c r="O24" s="21">
        <f t="shared" si="1"/>
        <v>0</v>
      </c>
      <c r="P24" s="21">
        <f t="shared" si="0"/>
        <v>0</v>
      </c>
      <c r="Q24" s="24">
        <v>0</v>
      </c>
      <c r="R24" s="24"/>
      <c r="S24" s="24"/>
      <c r="T24" s="25"/>
      <c r="U24" s="25"/>
      <c r="V24" s="25"/>
      <c r="W24" s="25"/>
    </row>
    <row r="25" spans="1:23" ht="15.75" customHeight="1" x14ac:dyDescent="0.25">
      <c r="A25" s="20" t="s">
        <v>5</v>
      </c>
      <c r="B25" s="21">
        <v>0</v>
      </c>
      <c r="C25" s="21">
        <v>0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2">
        <v>0</v>
      </c>
      <c r="L25" s="21">
        <v>0</v>
      </c>
      <c r="M25" s="21">
        <v>0</v>
      </c>
      <c r="N25" s="27"/>
      <c r="O25" s="21">
        <f t="shared" si="1"/>
        <v>0</v>
      </c>
      <c r="P25" s="21">
        <f t="shared" si="0"/>
        <v>0</v>
      </c>
      <c r="Q25" s="24">
        <v>0</v>
      </c>
      <c r="R25" s="24"/>
      <c r="S25" s="24"/>
      <c r="T25" s="25"/>
      <c r="U25" s="25"/>
      <c r="V25" s="25"/>
      <c r="W25" s="25"/>
    </row>
    <row r="26" spans="1:23" ht="15.75" customHeight="1" x14ac:dyDescent="0.25">
      <c r="A26" s="20" t="s">
        <v>6</v>
      </c>
      <c r="B26" s="21">
        <v>0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2">
        <v>0</v>
      </c>
      <c r="L26" s="21">
        <v>0</v>
      </c>
      <c r="M26" s="21">
        <v>0</v>
      </c>
      <c r="N26" s="28"/>
      <c r="O26" s="21">
        <f t="shared" si="1"/>
        <v>0</v>
      </c>
      <c r="P26" s="21">
        <f t="shared" si="0"/>
        <v>0</v>
      </c>
      <c r="Q26" s="24">
        <v>0</v>
      </c>
      <c r="R26" s="24"/>
      <c r="S26" s="24"/>
      <c r="T26" s="25"/>
      <c r="U26" s="25"/>
      <c r="V26" s="25"/>
      <c r="W26" s="25"/>
    </row>
    <row r="27" spans="1:23" ht="15.75" customHeight="1" x14ac:dyDescent="0.25">
      <c r="A27" s="31" t="s">
        <v>11</v>
      </c>
      <c r="B27" s="15">
        <v>4</v>
      </c>
      <c r="C27" s="15">
        <v>4</v>
      </c>
      <c r="D27" s="15">
        <v>4</v>
      </c>
      <c r="E27" s="15">
        <v>4</v>
      </c>
      <c r="F27" s="15">
        <v>4</v>
      </c>
      <c r="G27" s="15">
        <v>4</v>
      </c>
      <c r="H27" s="15">
        <v>4</v>
      </c>
      <c r="I27" s="15">
        <v>4</v>
      </c>
      <c r="J27" s="15">
        <v>4</v>
      </c>
      <c r="K27" s="16">
        <v>4</v>
      </c>
      <c r="L27" s="16">
        <v>4</v>
      </c>
      <c r="M27" s="16">
        <v>4</v>
      </c>
      <c r="N27" s="28"/>
      <c r="O27" s="16"/>
      <c r="P27" s="21"/>
      <c r="Q27" s="24"/>
      <c r="R27" s="24"/>
      <c r="S27" s="24"/>
      <c r="T27" s="25"/>
      <c r="U27" s="25"/>
      <c r="V27" s="25"/>
      <c r="W27" s="25"/>
    </row>
    <row r="28" spans="1:23" ht="15.75" customHeight="1" x14ac:dyDescent="0.25">
      <c r="A28" s="32" t="s">
        <v>4</v>
      </c>
      <c r="B28" s="21">
        <v>142538.02000000002</v>
      </c>
      <c r="C28" s="21">
        <v>226450.24</v>
      </c>
      <c r="D28" s="21">
        <v>204304.75</v>
      </c>
      <c r="E28" s="21">
        <v>183730.11</v>
      </c>
      <c r="F28" s="21">
        <v>134902.43</v>
      </c>
      <c r="G28" s="21">
        <v>67575.14</v>
      </c>
      <c r="H28" s="21">
        <v>116215.98</v>
      </c>
      <c r="I28" s="21">
        <v>60097.929999999993</v>
      </c>
      <c r="J28" s="21">
        <v>293470.06</v>
      </c>
      <c r="K28" s="22">
        <v>318202.18</v>
      </c>
      <c r="L28" s="21">
        <v>338357.21</v>
      </c>
      <c r="M28" s="21">
        <v>183411.54</v>
      </c>
      <c r="N28" s="28"/>
      <c r="O28" s="21">
        <f>SUM(B28:M28)</f>
        <v>2269255.59</v>
      </c>
      <c r="P28" s="21">
        <f t="shared" si="0"/>
        <v>9452290.9100000001</v>
      </c>
      <c r="Q28" s="24">
        <v>7183035.3199999994</v>
      </c>
      <c r="R28" s="24"/>
      <c r="S28" s="24"/>
      <c r="T28" s="25"/>
      <c r="U28" s="25"/>
      <c r="V28" s="25"/>
      <c r="W28" s="25"/>
    </row>
    <row r="29" spans="1:23" ht="15.75" customHeight="1" x14ac:dyDescent="0.25">
      <c r="A29" s="20" t="s">
        <v>5</v>
      </c>
      <c r="B29" s="21">
        <v>19955.32</v>
      </c>
      <c r="C29" s="21">
        <v>31703.030000000002</v>
      </c>
      <c r="D29" s="21">
        <v>28602.65</v>
      </c>
      <c r="E29" s="21">
        <v>25722.21</v>
      </c>
      <c r="F29" s="21">
        <v>18886.34</v>
      </c>
      <c r="G29" s="21">
        <v>9460.52</v>
      </c>
      <c r="H29" s="21">
        <v>16270.25</v>
      </c>
      <c r="I29" s="21">
        <v>8413.7100000000009</v>
      </c>
      <c r="J29" s="21">
        <v>41085.81</v>
      </c>
      <c r="K29" s="22">
        <v>44548.31</v>
      </c>
      <c r="L29" s="21">
        <v>47370.000000000007</v>
      </c>
      <c r="M29" s="21">
        <v>25677.61</v>
      </c>
      <c r="N29" s="28"/>
      <c r="O29" s="21">
        <f>SUM(B29:M29)</f>
        <v>317695.75999999995</v>
      </c>
      <c r="P29" s="21">
        <f t="shared" si="0"/>
        <v>1317304.5699999998</v>
      </c>
      <c r="Q29" s="24">
        <v>999608.80999999982</v>
      </c>
      <c r="R29" s="24"/>
      <c r="S29" s="24"/>
      <c r="T29" s="25"/>
      <c r="U29" s="25"/>
      <c r="V29" s="25"/>
      <c r="W29" s="25"/>
    </row>
    <row r="30" spans="1:23" ht="15.75" customHeight="1" x14ac:dyDescent="0.25">
      <c r="A30" s="32" t="s">
        <v>6</v>
      </c>
      <c r="B30" s="21">
        <v>2850.75</v>
      </c>
      <c r="C30" s="21">
        <v>4529</v>
      </c>
      <c r="D30" s="21">
        <v>4086.1</v>
      </c>
      <c r="E30" s="21">
        <v>3674.61</v>
      </c>
      <c r="F30" s="21">
        <v>2698.0499999999997</v>
      </c>
      <c r="G30" s="21">
        <v>1351.5</v>
      </c>
      <c r="H30" s="21">
        <v>2324.3200000000002</v>
      </c>
      <c r="I30" s="21">
        <v>1201.96</v>
      </c>
      <c r="J30" s="21">
        <v>5869.4</v>
      </c>
      <c r="K30" s="22">
        <v>6364.04</v>
      </c>
      <c r="L30" s="21">
        <v>6767.1500000000005</v>
      </c>
      <c r="M30" s="21">
        <v>3668.23</v>
      </c>
      <c r="N30" s="28"/>
      <c r="O30" s="21">
        <f>SUM(B30:M30)</f>
        <v>45385.110000000008</v>
      </c>
      <c r="P30" s="21">
        <f t="shared" si="0"/>
        <v>189045.85000000003</v>
      </c>
      <c r="Q30" s="24">
        <v>143660.74000000002</v>
      </c>
      <c r="R30" s="24"/>
      <c r="S30" s="24"/>
      <c r="T30" s="25"/>
      <c r="U30" s="25"/>
      <c r="V30" s="25"/>
      <c r="W30" s="25"/>
    </row>
    <row r="31" spans="1:23" ht="15.75" customHeight="1" x14ac:dyDescent="0.25">
      <c r="B31" s="21"/>
      <c r="C31" s="21"/>
      <c r="D31" s="21"/>
      <c r="E31" s="21"/>
      <c r="F31" s="21"/>
      <c r="G31" s="21"/>
      <c r="H31" s="25"/>
      <c r="I31" s="21"/>
      <c r="J31" s="21"/>
      <c r="K31" s="22"/>
      <c r="L31" s="21"/>
      <c r="M31" s="21"/>
      <c r="N31" s="27"/>
      <c r="O31" s="21"/>
      <c r="P31" s="21"/>
      <c r="Q31" s="24"/>
      <c r="R31" s="24"/>
      <c r="S31" s="24"/>
      <c r="T31" s="25"/>
      <c r="U31" s="25"/>
      <c r="V31" s="25"/>
      <c r="W31" s="25"/>
    </row>
    <row r="32" spans="1:23" ht="15.75" customHeight="1" x14ac:dyDescent="0.25">
      <c r="A32" s="12" t="s">
        <v>12</v>
      </c>
      <c r="B32" s="33"/>
      <c r="C32" s="21"/>
      <c r="D32" s="21"/>
      <c r="E32" s="33"/>
      <c r="F32" s="33"/>
      <c r="G32" s="55"/>
      <c r="H32" s="25"/>
      <c r="I32" s="33"/>
      <c r="J32" s="33"/>
      <c r="K32" s="34"/>
      <c r="L32" s="21"/>
      <c r="M32" s="21"/>
      <c r="N32" s="28"/>
      <c r="O32" s="33"/>
      <c r="P32" s="21"/>
      <c r="Q32" s="24"/>
      <c r="R32" s="24"/>
      <c r="S32" s="24"/>
      <c r="T32" s="25"/>
      <c r="U32" s="25"/>
      <c r="V32" s="25"/>
      <c r="W32" s="25"/>
    </row>
    <row r="33" spans="1:23" ht="15.75" customHeight="1" x14ac:dyDescent="0.25">
      <c r="A33" s="14" t="s">
        <v>3</v>
      </c>
      <c r="B33" s="15">
        <v>146.80000000000001</v>
      </c>
      <c r="C33" s="40">
        <v>145.80000000000001</v>
      </c>
      <c r="D33" s="15">
        <v>147</v>
      </c>
      <c r="E33" s="15">
        <v>150.4</v>
      </c>
      <c r="F33" s="15">
        <v>147</v>
      </c>
      <c r="G33" s="15">
        <v>153</v>
      </c>
      <c r="H33" s="15">
        <v>158</v>
      </c>
      <c r="I33" s="15">
        <v>160</v>
      </c>
      <c r="J33" s="15">
        <v>154</v>
      </c>
      <c r="K33" s="16">
        <v>160.6</v>
      </c>
      <c r="L33" s="15">
        <v>157.66666666666666</v>
      </c>
      <c r="M33" s="15">
        <v>163.6</v>
      </c>
      <c r="N33" s="27"/>
      <c r="O33" s="15"/>
      <c r="P33" s="21"/>
      <c r="Q33" s="24"/>
      <c r="R33" s="24"/>
      <c r="S33" s="24"/>
      <c r="T33" s="25"/>
      <c r="U33" s="25"/>
      <c r="V33" s="25"/>
      <c r="W33" s="25"/>
    </row>
    <row r="34" spans="1:23" ht="15.75" customHeight="1" x14ac:dyDescent="0.25">
      <c r="A34" s="20" t="s">
        <v>4</v>
      </c>
      <c r="B34" s="21">
        <v>15180262.459999999</v>
      </c>
      <c r="C34" s="21">
        <v>14489756.52</v>
      </c>
      <c r="D34" s="21">
        <v>13332701.390000001</v>
      </c>
      <c r="E34" s="21">
        <v>14214034.599999998</v>
      </c>
      <c r="F34" s="21">
        <v>13090238.349999998</v>
      </c>
      <c r="G34" s="21">
        <v>6212824.3599999994</v>
      </c>
      <c r="H34" s="21">
        <v>13333583.620000001</v>
      </c>
      <c r="I34" s="21">
        <v>13962296.65</v>
      </c>
      <c r="J34" s="21">
        <v>16566475.6</v>
      </c>
      <c r="K34" s="22">
        <v>18162662.559999999</v>
      </c>
      <c r="L34" s="21">
        <v>18015625.969999999</v>
      </c>
      <c r="M34" s="21">
        <v>17898360.370000001</v>
      </c>
      <c r="N34" s="28"/>
      <c r="O34" s="21">
        <f>SUM(B34:M34)</f>
        <v>174458822.44999999</v>
      </c>
      <c r="P34" s="21">
        <f t="shared" si="0"/>
        <v>1591887326.1799998</v>
      </c>
      <c r="Q34" s="24">
        <v>1417428503.7299998</v>
      </c>
      <c r="R34" s="24"/>
      <c r="S34" s="24"/>
      <c r="T34" s="25"/>
      <c r="U34" s="25"/>
      <c r="V34" s="25"/>
      <c r="W34" s="25"/>
    </row>
    <row r="35" spans="1:23" ht="15.75" customHeight="1" x14ac:dyDescent="0.25">
      <c r="A35" s="20" t="s">
        <v>5</v>
      </c>
      <c r="B35" s="21">
        <v>2125236.7600000002</v>
      </c>
      <c r="C35" s="21">
        <v>2028565.9300000002</v>
      </c>
      <c r="D35" s="21">
        <v>1866578.2</v>
      </c>
      <c r="E35" s="21">
        <v>1989964.85</v>
      </c>
      <c r="F35" s="21">
        <v>1832633.3800000001</v>
      </c>
      <c r="G35" s="21">
        <v>869795.41</v>
      </c>
      <c r="H35" s="21">
        <v>1866701.71</v>
      </c>
      <c r="I35" s="21">
        <v>1954721.5299999998</v>
      </c>
      <c r="J35" s="21">
        <v>2319306.6100000003</v>
      </c>
      <c r="K35" s="22">
        <v>2542772.77</v>
      </c>
      <c r="L35" s="21">
        <v>2522187.66</v>
      </c>
      <c r="M35" s="21">
        <v>2505770.46</v>
      </c>
      <c r="N35" s="27"/>
      <c r="O35" s="21">
        <f>SUM(B35:M35)</f>
        <v>24424235.270000003</v>
      </c>
      <c r="P35" s="21">
        <f t="shared" si="0"/>
        <v>217090227.25000003</v>
      </c>
      <c r="Q35" s="24">
        <v>192665991.98000002</v>
      </c>
      <c r="R35" s="24"/>
      <c r="S35" s="24"/>
      <c r="T35" s="25"/>
      <c r="U35" s="25"/>
      <c r="V35" s="25"/>
      <c r="W35" s="25"/>
    </row>
    <row r="36" spans="1:23" ht="15.75" customHeight="1" x14ac:dyDescent="0.25">
      <c r="A36" s="20" t="s">
        <v>6</v>
      </c>
      <c r="B36" s="21">
        <v>303605.25</v>
      </c>
      <c r="C36" s="21">
        <v>289795.14</v>
      </c>
      <c r="D36" s="21">
        <v>266654.04000000004</v>
      </c>
      <c r="E36" s="21">
        <v>284280.69</v>
      </c>
      <c r="F36" s="21">
        <v>261804.79</v>
      </c>
      <c r="G36" s="21">
        <v>124256.49</v>
      </c>
      <c r="H36" s="21">
        <v>266671.68</v>
      </c>
      <c r="I36" s="21">
        <v>279245.93000000005</v>
      </c>
      <c r="J36" s="21">
        <v>331329.53999999998</v>
      </c>
      <c r="K36" s="22">
        <v>363253.26</v>
      </c>
      <c r="L36" s="21">
        <v>360312.55</v>
      </c>
      <c r="M36" s="21">
        <v>357967.20999999996</v>
      </c>
      <c r="N36" s="29"/>
      <c r="O36" s="21">
        <f>SUM(B36:M36)</f>
        <v>3489176.5700000003</v>
      </c>
      <c r="P36" s="21">
        <f t="shared" si="0"/>
        <v>31837747.859999999</v>
      </c>
      <c r="Q36" s="24">
        <v>28348571.289999999</v>
      </c>
      <c r="R36" s="24"/>
      <c r="S36" s="24"/>
      <c r="T36" s="25"/>
      <c r="U36" s="25"/>
      <c r="V36" s="25"/>
      <c r="W36" s="25"/>
    </row>
    <row r="37" spans="1:23" ht="15.75" customHeight="1" x14ac:dyDescent="0.25">
      <c r="A37" s="14" t="s">
        <v>7</v>
      </c>
      <c r="B37" s="15">
        <v>48</v>
      </c>
      <c r="C37" s="15">
        <v>48</v>
      </c>
      <c r="D37" s="15">
        <v>48</v>
      </c>
      <c r="E37" s="15">
        <v>48</v>
      </c>
      <c r="F37" s="15">
        <v>48</v>
      </c>
      <c r="G37" s="15">
        <v>48</v>
      </c>
      <c r="H37" s="15">
        <v>48</v>
      </c>
      <c r="I37" s="15">
        <v>48</v>
      </c>
      <c r="J37" s="15">
        <v>44.8</v>
      </c>
      <c r="K37" s="16">
        <v>48</v>
      </c>
      <c r="L37" s="15">
        <v>48</v>
      </c>
      <c r="M37" s="15">
        <v>48</v>
      </c>
      <c r="N37" s="27"/>
      <c r="O37" s="15"/>
      <c r="P37" s="21"/>
      <c r="Q37" s="24"/>
      <c r="R37" s="24"/>
      <c r="S37" s="24"/>
      <c r="T37" s="25"/>
      <c r="U37" s="25"/>
      <c r="V37" s="25"/>
      <c r="W37" s="25"/>
    </row>
    <row r="38" spans="1:23" ht="15.75" customHeight="1" x14ac:dyDescent="0.25">
      <c r="A38" s="20" t="s">
        <v>4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927601.32000000007</v>
      </c>
      <c r="I38" s="21">
        <v>1043024.01</v>
      </c>
      <c r="J38" s="21">
        <v>1242645.01</v>
      </c>
      <c r="K38" s="22">
        <v>1291239</v>
      </c>
      <c r="L38" s="21">
        <v>1299517.05</v>
      </c>
      <c r="M38" s="21">
        <v>1252834.01</v>
      </c>
      <c r="N38" s="26"/>
      <c r="O38" s="21">
        <f>SUM(B38:M38)</f>
        <v>7056860.3999999994</v>
      </c>
      <c r="P38" s="21">
        <f t="shared" si="0"/>
        <v>163323819.31999999</v>
      </c>
      <c r="Q38" s="24">
        <v>156266958.91999999</v>
      </c>
      <c r="R38" s="24"/>
      <c r="S38" s="24"/>
      <c r="T38" s="25"/>
      <c r="U38" s="25"/>
      <c r="V38" s="25"/>
      <c r="W38" s="25"/>
    </row>
    <row r="39" spans="1:23" ht="15.75" customHeight="1" x14ac:dyDescent="0.25">
      <c r="A39" s="20" t="s">
        <v>5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129864.18</v>
      </c>
      <c r="I39" s="21">
        <v>146023.35999999999</v>
      </c>
      <c r="J39" s="21">
        <v>173970.3</v>
      </c>
      <c r="K39" s="22">
        <v>180773.46</v>
      </c>
      <c r="L39" s="21">
        <v>181932.39</v>
      </c>
      <c r="M39" s="21">
        <v>175396.76</v>
      </c>
      <c r="N39" s="25"/>
      <c r="O39" s="21">
        <f>SUM(B39:M39)</f>
        <v>987960.45</v>
      </c>
      <c r="P39" s="21">
        <f t="shared" si="0"/>
        <v>21541686.649999995</v>
      </c>
      <c r="Q39" s="24">
        <v>20553726.199999996</v>
      </c>
      <c r="R39" s="24"/>
      <c r="S39" s="24"/>
      <c r="T39" s="25"/>
      <c r="U39" s="25"/>
      <c r="V39" s="25"/>
      <c r="W39" s="25"/>
    </row>
    <row r="40" spans="1:23" ht="15.75" customHeight="1" x14ac:dyDescent="0.25">
      <c r="A40" s="20" t="s">
        <v>6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18552.03</v>
      </c>
      <c r="I40" s="21">
        <v>20860.48</v>
      </c>
      <c r="J40" s="21">
        <v>24852.9</v>
      </c>
      <c r="K40" s="22">
        <v>25824.780000000002</v>
      </c>
      <c r="L40" s="21">
        <v>25990.34</v>
      </c>
      <c r="M40" s="21">
        <v>25056.680000000004</v>
      </c>
      <c r="N40" s="25"/>
      <c r="O40" s="21">
        <f>SUM(B40:M40)</f>
        <v>141137.21</v>
      </c>
      <c r="P40" s="21">
        <f t="shared" si="0"/>
        <v>3266476.4099999997</v>
      </c>
      <c r="Q40" s="24">
        <v>3125339.1999999997</v>
      </c>
      <c r="R40" s="24"/>
      <c r="S40" s="24"/>
      <c r="T40" s="25"/>
      <c r="U40" s="25"/>
      <c r="V40" s="25"/>
      <c r="W40" s="25"/>
    </row>
    <row r="41" spans="1:23" ht="15.75" customHeight="1" x14ac:dyDescent="0.25">
      <c r="A41" s="14" t="s">
        <v>8</v>
      </c>
      <c r="B41" s="15">
        <v>93.8</v>
      </c>
      <c r="C41" s="15">
        <v>92.8</v>
      </c>
      <c r="D41" s="15">
        <v>94</v>
      </c>
      <c r="E41" s="15">
        <v>97.4</v>
      </c>
      <c r="F41" s="15">
        <v>94</v>
      </c>
      <c r="G41" s="15">
        <v>100</v>
      </c>
      <c r="H41" s="15">
        <v>105</v>
      </c>
      <c r="I41" s="15">
        <v>107</v>
      </c>
      <c r="J41" s="15">
        <v>104.2</v>
      </c>
      <c r="K41" s="16">
        <v>107.6</v>
      </c>
      <c r="L41" s="15">
        <v>104.66666666666667</v>
      </c>
      <c r="M41" s="15">
        <v>107.6</v>
      </c>
      <c r="N41" s="35"/>
      <c r="O41" s="15"/>
      <c r="P41" s="21"/>
      <c r="Q41" s="24"/>
      <c r="R41" s="24"/>
      <c r="S41" s="24"/>
      <c r="T41" s="25"/>
      <c r="U41" s="25"/>
      <c r="V41" s="25"/>
      <c r="W41" s="25"/>
    </row>
    <row r="42" spans="1:23" ht="15.75" customHeight="1" x14ac:dyDescent="0.25">
      <c r="A42" s="20" t="s">
        <v>4</v>
      </c>
      <c r="B42" s="21">
        <v>14627522.050000001</v>
      </c>
      <c r="C42" s="21">
        <v>13871678.460000001</v>
      </c>
      <c r="D42" s="21">
        <v>12800963.639999999</v>
      </c>
      <c r="E42" s="21">
        <v>13747310.629999999</v>
      </c>
      <c r="F42" s="21">
        <v>12697256.609999999</v>
      </c>
      <c r="G42" s="21">
        <v>6033544.96</v>
      </c>
      <c r="H42" s="21">
        <v>12097502.25</v>
      </c>
      <c r="I42" s="21">
        <v>12545713.35</v>
      </c>
      <c r="J42" s="21">
        <v>14864428.84</v>
      </c>
      <c r="K42" s="22">
        <v>16457117.560000001</v>
      </c>
      <c r="L42" s="21">
        <v>16312478.800000001</v>
      </c>
      <c r="M42" s="21">
        <v>16226793</v>
      </c>
      <c r="N42" s="23"/>
      <c r="O42" s="21">
        <f t="shared" ref="O42:O52" si="2">SUM(B42:M42)</f>
        <v>162282310.15000001</v>
      </c>
      <c r="P42" s="21">
        <f t="shared" si="0"/>
        <v>1378393675.3899999</v>
      </c>
      <c r="Q42" s="24">
        <v>1216111365.2399998</v>
      </c>
      <c r="R42" s="24"/>
      <c r="S42" s="24"/>
      <c r="T42" s="25"/>
      <c r="U42" s="25"/>
      <c r="V42" s="25"/>
      <c r="W42" s="25"/>
    </row>
    <row r="43" spans="1:23" ht="15.75" customHeight="1" x14ac:dyDescent="0.25">
      <c r="A43" s="20" t="s">
        <v>5</v>
      </c>
      <c r="B43" s="21">
        <v>2047853.0999999999</v>
      </c>
      <c r="C43" s="21">
        <v>1942034.99</v>
      </c>
      <c r="D43" s="21">
        <v>1792134.91</v>
      </c>
      <c r="E43" s="21">
        <v>1924623.5</v>
      </c>
      <c r="F43" s="21">
        <v>1777615.9400000002</v>
      </c>
      <c r="G43" s="21">
        <v>844696.3</v>
      </c>
      <c r="H43" s="21">
        <v>1693650.33</v>
      </c>
      <c r="I43" s="21">
        <v>1756399.8800000001</v>
      </c>
      <c r="J43" s="21">
        <v>2081020.06</v>
      </c>
      <c r="K43" s="22">
        <v>2303996.4699999997</v>
      </c>
      <c r="L43" s="21">
        <v>2283747.0499999998</v>
      </c>
      <c r="M43" s="21">
        <v>2271751.0300000003</v>
      </c>
      <c r="N43" s="26"/>
      <c r="O43" s="21">
        <f t="shared" si="2"/>
        <v>22719523.560000002</v>
      </c>
      <c r="P43" s="21">
        <f t="shared" si="0"/>
        <v>183893800.10999998</v>
      </c>
      <c r="Q43" s="24">
        <v>161174276.54999998</v>
      </c>
      <c r="R43" s="24"/>
      <c r="S43" s="24"/>
      <c r="T43" s="25"/>
      <c r="U43" s="25"/>
      <c r="V43" s="25"/>
      <c r="W43" s="25"/>
    </row>
    <row r="44" spans="1:23" ht="15.75" customHeight="1" x14ac:dyDescent="0.25">
      <c r="A44" s="20" t="s">
        <v>6</v>
      </c>
      <c r="B44" s="21">
        <v>292550.44</v>
      </c>
      <c r="C44" s="21">
        <v>277433.58</v>
      </c>
      <c r="D44" s="21">
        <v>256019.28</v>
      </c>
      <c r="E44" s="21">
        <v>274946.21999999997</v>
      </c>
      <c r="F44" s="21">
        <v>253945.16</v>
      </c>
      <c r="G44" s="21">
        <v>120670.9</v>
      </c>
      <c r="H44" s="21">
        <v>241950.05999999997</v>
      </c>
      <c r="I44" s="21">
        <v>250914.27</v>
      </c>
      <c r="J44" s="21">
        <v>297288.60000000003</v>
      </c>
      <c r="K44" s="22">
        <v>329142.36</v>
      </c>
      <c r="L44" s="21">
        <v>326249.59999999998</v>
      </c>
      <c r="M44" s="21">
        <v>324535.86999999994</v>
      </c>
      <c r="N44" s="26"/>
      <c r="O44" s="21">
        <f t="shared" si="2"/>
        <v>3245646.34</v>
      </c>
      <c r="P44" s="21">
        <f t="shared" si="0"/>
        <v>27567874.82</v>
      </c>
      <c r="Q44" s="24">
        <v>24322228.48</v>
      </c>
      <c r="R44" s="24"/>
      <c r="S44" s="24"/>
      <c r="T44" s="25"/>
      <c r="U44" s="25"/>
      <c r="V44" s="25"/>
      <c r="W44" s="25"/>
    </row>
    <row r="45" spans="1:23" ht="15.75" customHeight="1" x14ac:dyDescent="0.25">
      <c r="A45" s="14" t="s">
        <v>9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6">
        <v>0</v>
      </c>
      <c r="L45" s="15">
        <v>0</v>
      </c>
      <c r="M45" s="15" t="s">
        <v>49</v>
      </c>
      <c r="N45" s="27"/>
      <c r="O45" s="15"/>
      <c r="P45" s="21"/>
      <c r="Q45" s="24"/>
      <c r="R45" s="24"/>
      <c r="S45" s="24"/>
      <c r="T45" s="25"/>
      <c r="U45" s="25"/>
      <c r="V45" s="25"/>
      <c r="W45" s="25"/>
    </row>
    <row r="46" spans="1:23" ht="15.75" customHeight="1" x14ac:dyDescent="0.25">
      <c r="A46" s="20" t="s">
        <v>4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2">
        <v>0</v>
      </c>
      <c r="L46" s="21">
        <v>0</v>
      </c>
      <c r="M46" s="21">
        <v>0</v>
      </c>
      <c r="N46" s="28"/>
      <c r="O46" s="21">
        <f t="shared" si="2"/>
        <v>0</v>
      </c>
      <c r="P46" s="21">
        <f t="shared" si="0"/>
        <v>5888459.3599999994</v>
      </c>
      <c r="Q46" s="24">
        <v>5888459.3599999994</v>
      </c>
      <c r="R46" s="24"/>
      <c r="S46" s="24"/>
      <c r="T46" s="25"/>
      <c r="U46" s="25"/>
      <c r="V46" s="25"/>
      <c r="W46" s="25"/>
    </row>
    <row r="47" spans="1:23" ht="15.75" customHeight="1" x14ac:dyDescent="0.25">
      <c r="A47" s="20" t="s">
        <v>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2">
        <v>0</v>
      </c>
      <c r="L47" s="21">
        <v>0</v>
      </c>
      <c r="M47" s="21">
        <v>0</v>
      </c>
      <c r="N47" s="27"/>
      <c r="O47" s="21">
        <f t="shared" si="2"/>
        <v>0</v>
      </c>
      <c r="P47" s="21">
        <f t="shared" si="0"/>
        <v>824384.30999999994</v>
      </c>
      <c r="Q47" s="24">
        <v>824384.30999999994</v>
      </c>
      <c r="R47" s="24"/>
      <c r="S47" s="24"/>
      <c r="T47" s="25"/>
      <c r="U47" s="25"/>
      <c r="V47" s="25"/>
      <c r="W47" s="25"/>
    </row>
    <row r="48" spans="1:23" ht="15.75" customHeight="1" x14ac:dyDescent="0.25">
      <c r="A48" s="20" t="s">
        <v>6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2">
        <v>0</v>
      </c>
      <c r="L48" s="21">
        <v>0</v>
      </c>
      <c r="M48" s="21">
        <v>0</v>
      </c>
      <c r="N48" s="28"/>
      <c r="O48" s="21">
        <f t="shared" si="2"/>
        <v>0</v>
      </c>
      <c r="P48" s="21">
        <f t="shared" si="0"/>
        <v>117769.18999999999</v>
      </c>
      <c r="Q48" s="24">
        <v>117769.18999999999</v>
      </c>
      <c r="R48" s="24"/>
      <c r="S48" s="24"/>
      <c r="T48" s="25"/>
      <c r="U48" s="25"/>
      <c r="V48" s="25"/>
      <c r="W48" s="25"/>
    </row>
    <row r="49" spans="1:23" ht="15.75" customHeight="1" x14ac:dyDescent="0.25">
      <c r="A49" s="14" t="s">
        <v>10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6">
        <v>0</v>
      </c>
      <c r="L49" s="15">
        <v>0</v>
      </c>
      <c r="M49" s="15" t="s">
        <v>49</v>
      </c>
      <c r="N49" s="27"/>
      <c r="O49" s="15"/>
      <c r="P49" s="21"/>
      <c r="Q49" s="24"/>
      <c r="R49" s="24"/>
      <c r="S49" s="24"/>
      <c r="T49" s="25"/>
      <c r="U49" s="25"/>
      <c r="V49" s="25"/>
      <c r="W49" s="25"/>
    </row>
    <row r="50" spans="1:23" ht="15.75" customHeight="1" x14ac:dyDescent="0.25">
      <c r="A50" s="20" t="s">
        <v>4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2">
        <v>0</v>
      </c>
      <c r="L50" s="21">
        <v>0</v>
      </c>
      <c r="M50" s="21">
        <v>0</v>
      </c>
      <c r="N50" s="29"/>
      <c r="O50" s="21">
        <f t="shared" si="2"/>
        <v>0</v>
      </c>
      <c r="P50" s="21">
        <f t="shared" si="0"/>
        <v>14545178.5</v>
      </c>
      <c r="Q50" s="24">
        <v>14545178.5</v>
      </c>
      <c r="R50" s="24"/>
      <c r="S50" s="24"/>
      <c r="T50" s="25"/>
      <c r="U50" s="25"/>
      <c r="V50" s="25"/>
      <c r="W50" s="25"/>
    </row>
    <row r="51" spans="1:23" ht="15.75" customHeight="1" x14ac:dyDescent="0.25">
      <c r="A51" s="20" t="s">
        <v>5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2">
        <v>0</v>
      </c>
      <c r="L51" s="21">
        <v>0</v>
      </c>
      <c r="M51" s="21">
        <v>0</v>
      </c>
      <c r="N51" s="27"/>
      <c r="O51" s="21">
        <f t="shared" si="2"/>
        <v>0</v>
      </c>
      <c r="P51" s="21">
        <f t="shared" si="0"/>
        <v>6759836.71</v>
      </c>
      <c r="Q51" s="24">
        <v>6759836.71</v>
      </c>
      <c r="R51" s="24"/>
      <c r="S51" s="24"/>
      <c r="T51" s="25"/>
      <c r="U51" s="25"/>
      <c r="V51" s="25"/>
      <c r="W51" s="25"/>
    </row>
    <row r="52" spans="1:23" ht="15.75" customHeight="1" x14ac:dyDescent="0.25">
      <c r="A52" s="20" t="s">
        <v>6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2">
        <v>0</v>
      </c>
      <c r="L52" s="21">
        <v>0</v>
      </c>
      <c r="M52" s="21">
        <v>0</v>
      </c>
      <c r="N52" s="26"/>
      <c r="O52" s="21">
        <f t="shared" si="2"/>
        <v>0</v>
      </c>
      <c r="P52" s="21">
        <f t="shared" si="0"/>
        <v>290903.57</v>
      </c>
      <c r="Q52" s="24">
        <v>290903.57</v>
      </c>
      <c r="R52" s="24"/>
      <c r="S52" s="24"/>
      <c r="T52" s="25"/>
      <c r="U52" s="25"/>
      <c r="V52" s="25"/>
      <c r="W52" s="25"/>
    </row>
    <row r="53" spans="1:23" ht="15.75" customHeight="1" x14ac:dyDescent="0.25">
      <c r="A53" s="31" t="s">
        <v>11</v>
      </c>
      <c r="B53" s="15">
        <v>5</v>
      </c>
      <c r="C53" s="15">
        <v>5</v>
      </c>
      <c r="D53" s="15">
        <v>5</v>
      </c>
      <c r="E53" s="15">
        <v>5</v>
      </c>
      <c r="F53" s="15">
        <v>5</v>
      </c>
      <c r="G53" s="15">
        <v>5</v>
      </c>
      <c r="H53" s="15">
        <v>5</v>
      </c>
      <c r="I53" s="15">
        <v>5</v>
      </c>
      <c r="J53" s="15">
        <v>5</v>
      </c>
      <c r="K53" s="16">
        <v>5</v>
      </c>
      <c r="L53" s="15">
        <v>5</v>
      </c>
      <c r="M53" s="15">
        <v>8</v>
      </c>
      <c r="N53" s="26"/>
      <c r="O53" s="21"/>
      <c r="P53" s="21"/>
      <c r="Q53" s="24"/>
      <c r="R53" s="24"/>
      <c r="S53" s="24"/>
      <c r="T53" s="25"/>
      <c r="U53" s="25"/>
      <c r="V53" s="25"/>
      <c r="W53" s="25"/>
    </row>
    <row r="54" spans="1:23" ht="15.75" customHeight="1" x14ac:dyDescent="0.25">
      <c r="A54" s="32" t="s">
        <v>4</v>
      </c>
      <c r="B54" s="21">
        <v>552740.41</v>
      </c>
      <c r="C54" s="21">
        <v>618078.05999999994</v>
      </c>
      <c r="D54" s="21">
        <v>531737.75</v>
      </c>
      <c r="E54" s="21">
        <v>466723.97000000003</v>
      </c>
      <c r="F54" s="21">
        <v>392981.74</v>
      </c>
      <c r="G54" s="21">
        <v>179279.4</v>
      </c>
      <c r="H54" s="21">
        <v>308480.05</v>
      </c>
      <c r="I54" s="21">
        <v>373559.29000000004</v>
      </c>
      <c r="J54" s="21">
        <v>459401.75</v>
      </c>
      <c r="K54" s="22">
        <v>414306</v>
      </c>
      <c r="L54" s="21">
        <v>403630.12</v>
      </c>
      <c r="M54" s="21">
        <v>418733.36000000004</v>
      </c>
      <c r="N54" s="26"/>
      <c r="O54" s="21">
        <f>SUM(B54:M54)</f>
        <v>5119651.9000000004</v>
      </c>
      <c r="P54" s="21">
        <f t="shared" si="0"/>
        <v>29736193.609999999</v>
      </c>
      <c r="Q54" s="24">
        <v>24616541.710000001</v>
      </c>
      <c r="R54" s="24"/>
      <c r="S54" s="24"/>
      <c r="T54" s="25"/>
      <c r="U54" s="25"/>
      <c r="V54" s="25"/>
      <c r="W54" s="25"/>
    </row>
    <row r="55" spans="1:23" ht="15.75" customHeight="1" x14ac:dyDescent="0.25">
      <c r="A55" s="20" t="s">
        <v>5</v>
      </c>
      <c r="B55" s="21">
        <v>77383.66</v>
      </c>
      <c r="C55" s="21">
        <v>86530.94</v>
      </c>
      <c r="D55" s="21">
        <v>74443.290000000008</v>
      </c>
      <c r="E55" s="21">
        <v>65341.350000000006</v>
      </c>
      <c r="F55" s="21">
        <v>55017.440000000002</v>
      </c>
      <c r="G55" s="21">
        <v>25099.11</v>
      </c>
      <c r="H55" s="21">
        <v>43187.199999999997</v>
      </c>
      <c r="I55" s="21">
        <v>52298.289999999994</v>
      </c>
      <c r="J55" s="21">
        <v>64316.25</v>
      </c>
      <c r="K55" s="22">
        <v>58002.840000000004</v>
      </c>
      <c r="L55" s="21">
        <v>56508.22</v>
      </c>
      <c r="M55" s="21">
        <v>58622.669999999991</v>
      </c>
      <c r="N55" s="26"/>
      <c r="O55" s="21">
        <f>SUM(B55:M55)</f>
        <v>716751.26</v>
      </c>
      <c r="P55" s="21">
        <f t="shared" si="0"/>
        <v>4070519.4699999997</v>
      </c>
      <c r="Q55" s="24">
        <v>3353768.21</v>
      </c>
      <c r="R55" s="24"/>
      <c r="S55" s="24"/>
      <c r="T55" s="25"/>
      <c r="U55" s="25"/>
      <c r="V55" s="25"/>
      <c r="W55" s="25"/>
    </row>
    <row r="56" spans="1:23" ht="15.75" customHeight="1" x14ac:dyDescent="0.25">
      <c r="A56" s="32" t="s">
        <v>6</v>
      </c>
      <c r="B56" s="21">
        <v>11054.810000000001</v>
      </c>
      <c r="C56" s="21">
        <v>12361.56</v>
      </c>
      <c r="D56" s="21">
        <v>10634.759999999998</v>
      </c>
      <c r="E56" s="21">
        <v>9334.4700000000012</v>
      </c>
      <c r="F56" s="21">
        <v>7859.63</v>
      </c>
      <c r="G56" s="21">
        <v>3585.59</v>
      </c>
      <c r="H56" s="21">
        <v>6169.59</v>
      </c>
      <c r="I56" s="21">
        <v>7471.18</v>
      </c>
      <c r="J56" s="21">
        <v>9188.0400000000009</v>
      </c>
      <c r="K56" s="22">
        <v>8286.119999999999</v>
      </c>
      <c r="L56" s="21">
        <v>8072.61</v>
      </c>
      <c r="M56" s="21">
        <v>8374.66</v>
      </c>
      <c r="N56" s="26"/>
      <c r="O56" s="21">
        <f>SUM(B56:M56)</f>
        <v>102393.02</v>
      </c>
      <c r="P56" s="21">
        <f t="shared" si="0"/>
        <v>594723.87</v>
      </c>
      <c r="Q56" s="24">
        <v>492330.85000000003</v>
      </c>
      <c r="R56" s="24"/>
      <c r="S56" s="24"/>
      <c r="T56" s="25"/>
      <c r="U56" s="25"/>
      <c r="V56" s="25"/>
      <c r="W56" s="25"/>
    </row>
    <row r="57" spans="1:23" ht="15.75" customHeight="1" x14ac:dyDescent="0.25">
      <c r="A57" s="12"/>
      <c r="B57" s="21"/>
      <c r="C57" s="21"/>
      <c r="D57" s="21"/>
      <c r="E57" s="21"/>
      <c r="F57" s="21"/>
      <c r="G57" s="21"/>
      <c r="H57" s="25"/>
      <c r="I57" s="21"/>
      <c r="J57" s="21"/>
      <c r="K57" s="22"/>
      <c r="L57" s="21"/>
      <c r="M57" s="21"/>
      <c r="N57" s="27"/>
      <c r="O57" s="21"/>
      <c r="P57" s="21"/>
      <c r="Q57" s="24"/>
      <c r="R57" s="24"/>
      <c r="S57" s="24"/>
      <c r="T57" s="25"/>
      <c r="U57" s="25"/>
      <c r="V57" s="25"/>
      <c r="W57" s="25"/>
    </row>
    <row r="58" spans="1:23" ht="15.75" customHeight="1" x14ac:dyDescent="0.25">
      <c r="A58" s="12" t="s">
        <v>13</v>
      </c>
      <c r="B58" s="21"/>
      <c r="C58" s="21"/>
      <c r="D58" s="21"/>
      <c r="E58" s="21"/>
      <c r="F58" s="21"/>
      <c r="G58" s="21"/>
      <c r="H58" s="25"/>
      <c r="I58" s="21"/>
      <c r="J58" s="21"/>
      <c r="K58" s="22"/>
      <c r="L58" s="21"/>
      <c r="M58" s="21"/>
      <c r="N58" s="26"/>
      <c r="O58" s="21"/>
      <c r="P58" s="21"/>
      <c r="Q58" s="24"/>
      <c r="R58" s="24"/>
      <c r="S58" s="24"/>
      <c r="T58" s="25"/>
      <c r="U58" s="25"/>
      <c r="V58" s="25"/>
      <c r="W58" s="25"/>
    </row>
    <row r="59" spans="1:23" ht="15.75" customHeight="1" x14ac:dyDescent="0.25">
      <c r="A59" s="14" t="s">
        <v>3</v>
      </c>
      <c r="B59" s="15">
        <v>119</v>
      </c>
      <c r="C59" s="40">
        <v>120</v>
      </c>
      <c r="D59" s="15">
        <v>120</v>
      </c>
      <c r="E59" s="15">
        <v>120</v>
      </c>
      <c r="F59" s="15">
        <v>120</v>
      </c>
      <c r="G59" s="15">
        <v>120</v>
      </c>
      <c r="H59" s="15">
        <v>103</v>
      </c>
      <c r="I59" s="15">
        <v>108</v>
      </c>
      <c r="J59" s="15">
        <v>103</v>
      </c>
      <c r="K59" s="16">
        <v>103</v>
      </c>
      <c r="L59" s="15">
        <v>76.666666666666671</v>
      </c>
      <c r="M59" s="15">
        <v>78</v>
      </c>
      <c r="N59" s="29"/>
      <c r="O59" s="15"/>
      <c r="P59" s="21"/>
      <c r="Q59" s="24"/>
      <c r="R59" s="24"/>
      <c r="S59" s="24"/>
      <c r="T59" s="25"/>
      <c r="U59" s="25"/>
      <c r="V59" s="25"/>
      <c r="W59" s="25"/>
    </row>
    <row r="60" spans="1:23" ht="15.75" customHeight="1" x14ac:dyDescent="0.25">
      <c r="A60" s="20" t="s">
        <v>4</v>
      </c>
      <c r="B60" s="21">
        <v>6739194.5299999993</v>
      </c>
      <c r="C60" s="21">
        <v>5737446.4799999995</v>
      </c>
      <c r="D60" s="21">
        <v>4998515.55</v>
      </c>
      <c r="E60" s="21">
        <v>4861333.79</v>
      </c>
      <c r="F60" s="21">
        <v>4205940.38</v>
      </c>
      <c r="G60" s="21">
        <v>1775745.92</v>
      </c>
      <c r="H60" s="21">
        <v>3283502.66</v>
      </c>
      <c r="I60" s="21">
        <v>3777550.67</v>
      </c>
      <c r="J60" s="21">
        <v>3993371.8999999994</v>
      </c>
      <c r="K60" s="22">
        <v>4136305.9600000004</v>
      </c>
      <c r="L60" s="21">
        <v>4068945.1100000003</v>
      </c>
      <c r="M60" s="21">
        <v>4020462.9799999995</v>
      </c>
      <c r="N60" s="25"/>
      <c r="O60" s="21">
        <f>SUM(B60:M60)</f>
        <v>51598315.929999992</v>
      </c>
      <c r="P60" s="21">
        <f t="shared" si="0"/>
        <v>722671096.12</v>
      </c>
      <c r="Q60" s="24">
        <v>671072780.19000006</v>
      </c>
      <c r="R60" s="24"/>
      <c r="S60" s="24"/>
      <c r="T60" s="25"/>
      <c r="U60" s="25"/>
      <c r="V60" s="25"/>
      <c r="W60" s="25"/>
    </row>
    <row r="61" spans="1:23" ht="15.75" customHeight="1" x14ac:dyDescent="0.25">
      <c r="A61" s="20" t="s">
        <v>5</v>
      </c>
      <c r="B61" s="21">
        <v>1022439.49</v>
      </c>
      <c r="C61" s="21">
        <v>855830.80999999994</v>
      </c>
      <c r="D61" s="21">
        <v>734938.83</v>
      </c>
      <c r="E61" s="21">
        <v>711132.17</v>
      </c>
      <c r="F61" s="21">
        <v>612226.71000000008</v>
      </c>
      <c r="G61" s="21">
        <v>255483.31</v>
      </c>
      <c r="H61" s="21">
        <v>485136.32</v>
      </c>
      <c r="I61" s="21">
        <v>550584.45000000007</v>
      </c>
      <c r="J61" s="21">
        <v>594315.78</v>
      </c>
      <c r="K61" s="22">
        <v>623727.9</v>
      </c>
      <c r="L61" s="21">
        <v>604549.4</v>
      </c>
      <c r="M61" s="21">
        <v>594403.7300000001</v>
      </c>
      <c r="N61" s="35"/>
      <c r="O61" s="21">
        <f>SUM(B61:M61)</f>
        <v>7644768.9000000013</v>
      </c>
      <c r="P61" s="21">
        <f t="shared" si="0"/>
        <v>99895508.12000002</v>
      </c>
      <c r="Q61" s="24">
        <v>92250739.220000014</v>
      </c>
      <c r="R61" s="24"/>
      <c r="S61" s="24"/>
      <c r="T61" s="25"/>
      <c r="U61" s="25"/>
      <c r="V61" s="25"/>
      <c r="W61" s="25"/>
    </row>
    <row r="62" spans="1:23" ht="15.75" customHeight="1" x14ac:dyDescent="0.25">
      <c r="A62" s="20" t="s">
        <v>6</v>
      </c>
      <c r="B62" s="21">
        <v>134783.9</v>
      </c>
      <c r="C62" s="21">
        <v>114748.92</v>
      </c>
      <c r="D62" s="21">
        <v>99970.32</v>
      </c>
      <c r="E62" s="21">
        <v>97226.68</v>
      </c>
      <c r="F62" s="21">
        <v>84118.8</v>
      </c>
      <c r="G62" s="21">
        <v>35514.92</v>
      </c>
      <c r="H62" s="21">
        <v>65670.06</v>
      </c>
      <c r="I62" s="21">
        <v>75551.020000000019</v>
      </c>
      <c r="J62" s="21">
        <v>79867.439999999988</v>
      </c>
      <c r="K62" s="22">
        <v>82726.13</v>
      </c>
      <c r="L62" s="21">
        <v>81378.909999999989</v>
      </c>
      <c r="M62" s="21">
        <v>80409.27</v>
      </c>
      <c r="N62" s="23"/>
      <c r="O62" s="21">
        <f>SUM(B62:M62)</f>
        <v>1031966.3700000001</v>
      </c>
      <c r="P62" s="21">
        <f t="shared" si="0"/>
        <v>14453422.43</v>
      </c>
      <c r="Q62" s="24">
        <v>13421456.059999999</v>
      </c>
      <c r="R62" s="24"/>
      <c r="S62" s="24"/>
      <c r="T62" s="25"/>
      <c r="U62" s="25"/>
      <c r="V62" s="25"/>
      <c r="W62" s="25"/>
    </row>
    <row r="63" spans="1:23" ht="15.75" customHeight="1" x14ac:dyDescent="0.25">
      <c r="A63" s="14" t="s">
        <v>7</v>
      </c>
      <c r="B63" s="15">
        <v>27</v>
      </c>
      <c r="C63" s="15">
        <v>27</v>
      </c>
      <c r="D63" s="15">
        <v>27</v>
      </c>
      <c r="E63" s="15">
        <v>27</v>
      </c>
      <c r="F63" s="15">
        <v>27</v>
      </c>
      <c r="G63" s="15">
        <v>27</v>
      </c>
      <c r="H63" s="15">
        <v>27</v>
      </c>
      <c r="I63" s="15">
        <v>27</v>
      </c>
      <c r="J63" s="15">
        <v>27</v>
      </c>
      <c r="K63" s="16">
        <v>27</v>
      </c>
      <c r="L63" s="15">
        <v>0</v>
      </c>
      <c r="M63" s="15">
        <v>0</v>
      </c>
      <c r="N63" s="26"/>
      <c r="O63" s="15"/>
      <c r="P63" s="21"/>
      <c r="Q63" s="24"/>
      <c r="R63" s="24"/>
      <c r="S63" s="24"/>
      <c r="T63" s="25"/>
      <c r="U63" s="25"/>
      <c r="V63" s="25"/>
      <c r="W63" s="25"/>
    </row>
    <row r="64" spans="1:23" ht="15.75" customHeight="1" x14ac:dyDescent="0.25">
      <c r="A64" s="20" t="s">
        <v>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  <c r="K64" s="22">
        <v>0</v>
      </c>
      <c r="L64" s="21">
        <v>0</v>
      </c>
      <c r="M64" s="21">
        <v>0</v>
      </c>
      <c r="N64" s="26"/>
      <c r="O64" s="21">
        <f>SUM(B64:M64)</f>
        <v>0</v>
      </c>
      <c r="P64" s="21">
        <f t="shared" si="0"/>
        <v>68101780.409999996</v>
      </c>
      <c r="Q64" s="24">
        <v>68101780.409999996</v>
      </c>
      <c r="R64" s="24"/>
      <c r="S64" s="24"/>
      <c r="T64" s="25"/>
      <c r="U64" s="25"/>
      <c r="V64" s="25"/>
      <c r="W64" s="25"/>
    </row>
    <row r="65" spans="1:23" ht="15.75" customHeight="1" x14ac:dyDescent="0.25">
      <c r="A65" s="20" t="s">
        <v>5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2">
        <v>0</v>
      </c>
      <c r="L65" s="21">
        <v>0</v>
      </c>
      <c r="M65" s="21">
        <v>0</v>
      </c>
      <c r="N65" s="27"/>
      <c r="O65" s="21">
        <f>SUM(B65:M65)</f>
        <v>0</v>
      </c>
      <c r="P65" s="21">
        <f t="shared" si="0"/>
        <v>8881837.9900000002</v>
      </c>
      <c r="Q65" s="24">
        <v>8881837.9900000002</v>
      </c>
      <c r="R65" s="24"/>
      <c r="S65" s="24"/>
      <c r="T65" s="25"/>
      <c r="U65" s="25"/>
      <c r="V65" s="25"/>
      <c r="W65" s="25"/>
    </row>
    <row r="66" spans="1:23" ht="15.75" customHeight="1" x14ac:dyDescent="0.25">
      <c r="A66" s="20" t="s">
        <v>6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2">
        <v>0</v>
      </c>
      <c r="L66" s="21">
        <v>0</v>
      </c>
      <c r="M66" s="21">
        <v>0</v>
      </c>
      <c r="N66" s="28"/>
      <c r="O66" s="21">
        <f>SUM(B66:M66)</f>
        <v>0</v>
      </c>
      <c r="P66" s="21">
        <f t="shared" si="0"/>
        <v>1362035.6099999999</v>
      </c>
      <c r="Q66" s="24">
        <v>1362035.6099999999</v>
      </c>
      <c r="R66" s="24"/>
      <c r="S66" s="24"/>
      <c r="T66" s="25"/>
      <c r="U66" s="25"/>
      <c r="V66" s="25"/>
      <c r="W66" s="25"/>
    </row>
    <row r="67" spans="1:23" ht="15.75" customHeight="1" x14ac:dyDescent="0.25">
      <c r="A67" s="14" t="s">
        <v>8</v>
      </c>
      <c r="B67" s="15">
        <v>83</v>
      </c>
      <c r="C67" s="15">
        <v>84</v>
      </c>
      <c r="D67" s="15">
        <v>84</v>
      </c>
      <c r="E67" s="15">
        <v>84</v>
      </c>
      <c r="F67" s="15">
        <v>84</v>
      </c>
      <c r="G67" s="15">
        <v>84</v>
      </c>
      <c r="H67" s="15">
        <v>72</v>
      </c>
      <c r="I67" s="15">
        <v>72</v>
      </c>
      <c r="J67" s="15">
        <v>72</v>
      </c>
      <c r="K67" s="16">
        <v>72</v>
      </c>
      <c r="L67" s="15">
        <v>72</v>
      </c>
      <c r="M67" s="15">
        <v>72</v>
      </c>
      <c r="N67" s="27"/>
      <c r="O67" s="15"/>
      <c r="P67" s="21"/>
      <c r="Q67" s="24"/>
      <c r="R67" s="24"/>
      <c r="S67" s="24"/>
      <c r="T67" s="25"/>
      <c r="U67" s="25"/>
      <c r="V67" s="25"/>
      <c r="W67" s="25"/>
    </row>
    <row r="68" spans="1:23" ht="15.75" customHeight="1" x14ac:dyDescent="0.25">
      <c r="A68" s="20" t="s">
        <v>4</v>
      </c>
      <c r="B68" s="21">
        <v>6506982.0299999993</v>
      </c>
      <c r="C68" s="21">
        <v>5558591.4799999995</v>
      </c>
      <c r="D68" s="21">
        <v>4855756.55</v>
      </c>
      <c r="E68" s="21">
        <v>4758008.79</v>
      </c>
      <c r="F68" s="21">
        <v>4135089.3799999994</v>
      </c>
      <c r="G68" s="21">
        <v>1755513.92</v>
      </c>
      <c r="H68" s="21">
        <v>3208661.66</v>
      </c>
      <c r="I68" s="21">
        <v>3713646.67</v>
      </c>
      <c r="J68" s="21">
        <v>3889713.8999999994</v>
      </c>
      <c r="K68" s="22">
        <v>4004996.9600000004</v>
      </c>
      <c r="L68" s="21">
        <v>3966306.6100000003</v>
      </c>
      <c r="M68" s="21">
        <v>3927701.4799999995</v>
      </c>
      <c r="N68" s="28"/>
      <c r="O68" s="21">
        <f t="shared" ref="O68:O74" si="3">SUM(B68:M68)</f>
        <v>50280969.429999992</v>
      </c>
      <c r="P68" s="21">
        <f t="shared" si="0"/>
        <v>638682458.86000001</v>
      </c>
      <c r="Q68" s="24">
        <v>588401489.43000007</v>
      </c>
      <c r="R68" s="24"/>
      <c r="S68" s="24"/>
      <c r="T68" s="25"/>
      <c r="U68" s="25"/>
      <c r="V68" s="25"/>
      <c r="W68" s="25"/>
    </row>
    <row r="69" spans="1:23" ht="15.75" customHeight="1" x14ac:dyDescent="0.25">
      <c r="A69" s="20" t="s">
        <v>5</v>
      </c>
      <c r="B69" s="21">
        <v>910977.49000000011</v>
      </c>
      <c r="C69" s="21">
        <v>778202.8</v>
      </c>
      <c r="D69" s="21">
        <v>679805.92</v>
      </c>
      <c r="E69" s="21">
        <v>666121.24</v>
      </c>
      <c r="F69" s="21">
        <v>578912.50999999989</v>
      </c>
      <c r="G69" s="21">
        <v>245771.95</v>
      </c>
      <c r="H69" s="21">
        <v>449212.64</v>
      </c>
      <c r="I69" s="21">
        <v>519910.53</v>
      </c>
      <c r="J69" s="21">
        <v>544559.93999999994</v>
      </c>
      <c r="K69" s="22">
        <v>560699.57999999996</v>
      </c>
      <c r="L69" s="21">
        <v>555282.92000000004</v>
      </c>
      <c r="M69" s="21">
        <v>549878.21</v>
      </c>
      <c r="N69" s="27"/>
      <c r="O69" s="21">
        <f t="shared" si="3"/>
        <v>7039335.7299999995</v>
      </c>
      <c r="P69" s="21">
        <f t="shared" si="0"/>
        <v>84403802.060000017</v>
      </c>
      <c r="Q69" s="24">
        <v>77364466.330000013</v>
      </c>
      <c r="R69" s="24"/>
      <c r="S69" s="24"/>
      <c r="T69" s="25"/>
      <c r="U69" s="25"/>
      <c r="V69" s="25"/>
      <c r="W69" s="25"/>
    </row>
    <row r="70" spans="1:23" ht="15.75" customHeight="1" x14ac:dyDescent="0.25">
      <c r="A70" s="20" t="s">
        <v>6</v>
      </c>
      <c r="B70" s="21">
        <v>130139.65</v>
      </c>
      <c r="C70" s="21">
        <v>111171.81999999999</v>
      </c>
      <c r="D70" s="21">
        <v>97115.14</v>
      </c>
      <c r="E70" s="21">
        <v>95160.180000000008</v>
      </c>
      <c r="F70" s="21">
        <v>82701.78</v>
      </c>
      <c r="G70" s="21">
        <v>35110.28</v>
      </c>
      <c r="H70" s="21">
        <v>64173.24</v>
      </c>
      <c r="I70" s="21">
        <v>74272.94</v>
      </c>
      <c r="J70" s="21">
        <v>77794.28</v>
      </c>
      <c r="K70" s="22">
        <v>80099.95</v>
      </c>
      <c r="L70" s="21">
        <v>79326.14</v>
      </c>
      <c r="M70" s="21">
        <v>78554.040000000008</v>
      </c>
      <c r="N70" s="29"/>
      <c r="O70" s="21">
        <f t="shared" si="3"/>
        <v>1005619.4400000001</v>
      </c>
      <c r="P70" s="21">
        <f t="shared" si="0"/>
        <v>12773649.67</v>
      </c>
      <c r="Q70" s="24">
        <v>11768030.23</v>
      </c>
      <c r="R70" s="24"/>
      <c r="S70" s="24"/>
      <c r="T70" s="25"/>
      <c r="U70" s="25"/>
      <c r="V70" s="25"/>
      <c r="W70" s="25"/>
    </row>
    <row r="71" spans="1:23" ht="15.75" customHeight="1" x14ac:dyDescent="0.25">
      <c r="A71" s="14" t="s">
        <v>9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6">
        <v>0</v>
      </c>
      <c r="L71" s="16">
        <v>0</v>
      </c>
      <c r="M71" s="15">
        <v>0</v>
      </c>
      <c r="N71" s="27"/>
      <c r="O71" s="15"/>
      <c r="P71" s="21"/>
      <c r="Q71" s="24"/>
      <c r="R71" s="24"/>
      <c r="S71" s="24"/>
      <c r="T71" s="25"/>
      <c r="U71" s="25"/>
      <c r="V71" s="25"/>
      <c r="W71" s="25"/>
    </row>
    <row r="72" spans="1:23" ht="15.75" customHeight="1" x14ac:dyDescent="0.25">
      <c r="A72" s="20" t="s">
        <v>4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2">
        <v>0</v>
      </c>
      <c r="L72" s="21">
        <v>0</v>
      </c>
      <c r="M72" s="21">
        <v>0</v>
      </c>
      <c r="N72" s="26"/>
      <c r="O72" s="21">
        <f t="shared" si="3"/>
        <v>0</v>
      </c>
      <c r="P72" s="21">
        <f t="shared" si="0"/>
        <v>0</v>
      </c>
      <c r="Q72" s="24">
        <v>0</v>
      </c>
      <c r="R72" s="24"/>
      <c r="S72" s="24"/>
      <c r="T72" s="25"/>
      <c r="U72" s="25"/>
      <c r="V72" s="25"/>
      <c r="W72" s="25"/>
    </row>
    <row r="73" spans="1:23" ht="15.75" customHeight="1" x14ac:dyDescent="0.25">
      <c r="A73" s="20" t="s">
        <v>5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2">
        <v>0</v>
      </c>
      <c r="L73" s="21">
        <v>0</v>
      </c>
      <c r="M73" s="21">
        <v>0</v>
      </c>
      <c r="N73" s="36"/>
      <c r="O73" s="21">
        <f t="shared" si="3"/>
        <v>0</v>
      </c>
      <c r="P73" s="21">
        <f t="shared" ref="P73:P134" si="4">O73+Q73</f>
        <v>0</v>
      </c>
      <c r="Q73" s="24">
        <v>0</v>
      </c>
      <c r="R73" s="24"/>
      <c r="S73" s="24"/>
      <c r="T73" s="25"/>
      <c r="U73" s="25"/>
      <c r="V73" s="25"/>
      <c r="W73" s="25"/>
    </row>
    <row r="74" spans="1:23" ht="15.75" customHeight="1" x14ac:dyDescent="0.25">
      <c r="A74" s="20" t="s">
        <v>6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2">
        <v>0</v>
      </c>
      <c r="L74" s="21">
        <v>0</v>
      </c>
      <c r="M74" s="21">
        <v>0</v>
      </c>
      <c r="N74" s="28"/>
      <c r="O74" s="21">
        <f t="shared" si="3"/>
        <v>0</v>
      </c>
      <c r="P74" s="21">
        <f t="shared" si="4"/>
        <v>0</v>
      </c>
      <c r="Q74" s="24">
        <v>0</v>
      </c>
      <c r="R74" s="24"/>
      <c r="S74" s="24"/>
      <c r="T74" s="25"/>
      <c r="U74" s="25"/>
      <c r="V74" s="25"/>
      <c r="W74" s="25"/>
    </row>
    <row r="75" spans="1:23" ht="15.75" customHeight="1" x14ac:dyDescent="0.25">
      <c r="A75" s="14" t="s">
        <v>10</v>
      </c>
      <c r="B75" s="15">
        <v>4</v>
      </c>
      <c r="C75" s="15">
        <v>4</v>
      </c>
      <c r="D75" s="15">
        <v>4</v>
      </c>
      <c r="E75" s="15">
        <v>4</v>
      </c>
      <c r="F75" s="15">
        <v>4</v>
      </c>
      <c r="G75" s="15">
        <v>4</v>
      </c>
      <c r="H75" s="15">
        <v>4</v>
      </c>
      <c r="I75" s="15">
        <v>4</v>
      </c>
      <c r="J75" s="15">
        <v>4</v>
      </c>
      <c r="K75" s="16">
        <v>4</v>
      </c>
      <c r="L75" s="15">
        <v>4.666666666666667</v>
      </c>
      <c r="M75" s="15">
        <v>6</v>
      </c>
      <c r="N75" s="35"/>
      <c r="O75" s="15"/>
      <c r="P75" s="21"/>
      <c r="Q75" s="24"/>
      <c r="R75" s="24"/>
      <c r="S75" s="24"/>
      <c r="T75" s="25"/>
      <c r="U75" s="25"/>
      <c r="V75" s="25"/>
      <c r="W75" s="25"/>
    </row>
    <row r="76" spans="1:23" ht="15.75" customHeight="1" x14ac:dyDescent="0.25">
      <c r="A76" s="20" t="s">
        <v>4</v>
      </c>
      <c r="B76" s="21">
        <v>232212.5</v>
      </c>
      <c r="C76" s="21">
        <v>154671.5</v>
      </c>
      <c r="D76" s="21">
        <v>103372.5</v>
      </c>
      <c r="E76" s="21">
        <v>89839.5</v>
      </c>
      <c r="F76" s="21">
        <v>68809</v>
      </c>
      <c r="G76" s="21">
        <v>20232</v>
      </c>
      <c r="H76" s="21">
        <v>74841</v>
      </c>
      <c r="I76" s="21">
        <v>63904</v>
      </c>
      <c r="J76" s="21">
        <v>103658</v>
      </c>
      <c r="K76" s="22">
        <v>131309</v>
      </c>
      <c r="L76" s="21">
        <v>102638.5</v>
      </c>
      <c r="M76" s="21">
        <v>92761.5</v>
      </c>
      <c r="N76" s="23"/>
      <c r="O76" s="21">
        <f t="shared" ref="O76:O82" si="5">SUM(B76:M76)</f>
        <v>1238249</v>
      </c>
      <c r="P76" s="21">
        <f t="shared" si="4"/>
        <v>13346934.5</v>
      </c>
      <c r="Q76" s="24">
        <v>12108685.5</v>
      </c>
      <c r="R76" s="24"/>
      <c r="S76" s="24"/>
      <c r="T76" s="25"/>
      <c r="U76" s="25"/>
      <c r="V76" s="25"/>
      <c r="W76" s="25"/>
    </row>
    <row r="77" spans="1:23" ht="15.75" customHeight="1" x14ac:dyDescent="0.25">
      <c r="A77" s="20" t="s">
        <v>5</v>
      </c>
      <c r="B77" s="21">
        <v>111461.99999999999</v>
      </c>
      <c r="C77" s="21">
        <v>74242.320000000007</v>
      </c>
      <c r="D77" s="21">
        <v>49618.8</v>
      </c>
      <c r="E77" s="21">
        <v>43122.96</v>
      </c>
      <c r="F77" s="21">
        <v>33028.32</v>
      </c>
      <c r="G77" s="21">
        <v>9711.36</v>
      </c>
      <c r="H77" s="21">
        <v>35923.68</v>
      </c>
      <c r="I77" s="21">
        <v>30673.919999999998</v>
      </c>
      <c r="J77" s="21">
        <v>49755.840000000004</v>
      </c>
      <c r="K77" s="22">
        <v>63028.32</v>
      </c>
      <c r="L77" s="21">
        <v>49266.479999999996</v>
      </c>
      <c r="M77" s="21">
        <v>44525.520000000004</v>
      </c>
      <c r="N77" s="26"/>
      <c r="O77" s="21">
        <f t="shared" si="5"/>
        <v>594359.52</v>
      </c>
      <c r="P77" s="21">
        <f t="shared" si="4"/>
        <v>6266528.5299999993</v>
      </c>
      <c r="Q77" s="24">
        <v>5672169.0099999998</v>
      </c>
      <c r="R77" s="24"/>
      <c r="S77" s="24"/>
      <c r="T77" s="25"/>
      <c r="U77" s="25"/>
      <c r="V77" s="25"/>
      <c r="W77" s="25"/>
    </row>
    <row r="78" spans="1:23" ht="15.75" customHeight="1" x14ac:dyDescent="0.25">
      <c r="A78" s="20" t="s">
        <v>6</v>
      </c>
      <c r="B78" s="21">
        <v>4644.25</v>
      </c>
      <c r="C78" s="21">
        <v>3093.43</v>
      </c>
      <c r="D78" s="21">
        <v>2067.4499999999998</v>
      </c>
      <c r="E78" s="21">
        <v>1796.7900000000002</v>
      </c>
      <c r="F78" s="21">
        <v>1376.18</v>
      </c>
      <c r="G78" s="21">
        <v>404.64</v>
      </c>
      <c r="H78" s="21">
        <v>1496.8200000000002</v>
      </c>
      <c r="I78" s="21">
        <v>1278.08</v>
      </c>
      <c r="J78" s="21">
        <v>2073.16</v>
      </c>
      <c r="K78" s="22">
        <v>2626.1800000000003</v>
      </c>
      <c r="L78" s="21">
        <v>2052.77</v>
      </c>
      <c r="M78" s="21">
        <v>1855.23</v>
      </c>
      <c r="N78" s="26"/>
      <c r="O78" s="21">
        <f t="shared" si="5"/>
        <v>24764.980000000003</v>
      </c>
      <c r="P78" s="21">
        <f t="shared" si="4"/>
        <v>266938.69</v>
      </c>
      <c r="Q78" s="24">
        <v>242173.71</v>
      </c>
      <c r="R78" s="24"/>
      <c r="S78" s="24"/>
      <c r="T78" s="25"/>
      <c r="U78" s="25"/>
      <c r="V78" s="25"/>
      <c r="W78" s="25"/>
    </row>
    <row r="79" spans="1:23" ht="15.75" customHeight="1" x14ac:dyDescent="0.25">
      <c r="A79" s="31" t="s">
        <v>11</v>
      </c>
      <c r="B79" s="15">
        <v>5</v>
      </c>
      <c r="C79" s="15">
        <v>5</v>
      </c>
      <c r="D79" s="15">
        <v>5</v>
      </c>
      <c r="E79" s="15">
        <v>5</v>
      </c>
      <c r="F79" s="15">
        <v>5</v>
      </c>
      <c r="G79" s="15">
        <v>5</v>
      </c>
      <c r="H79" s="15">
        <v>5</v>
      </c>
      <c r="I79" s="15">
        <v>5</v>
      </c>
      <c r="J79" s="15">
        <v>5</v>
      </c>
      <c r="K79" s="16">
        <v>0</v>
      </c>
      <c r="L79" s="15">
        <v>0</v>
      </c>
      <c r="M79" s="15">
        <v>0</v>
      </c>
      <c r="N79" s="26"/>
      <c r="O79" s="21"/>
      <c r="P79" s="21"/>
      <c r="Q79" s="24"/>
      <c r="R79" s="24"/>
      <c r="S79" s="24"/>
      <c r="T79" s="25"/>
      <c r="U79" s="25"/>
      <c r="V79" s="25"/>
      <c r="W79" s="25"/>
    </row>
    <row r="80" spans="1:23" ht="15.75" customHeight="1" x14ac:dyDescent="0.25">
      <c r="A80" s="32" t="s">
        <v>4</v>
      </c>
      <c r="B80" s="21">
        <v>0</v>
      </c>
      <c r="C80" s="21">
        <v>24183.5</v>
      </c>
      <c r="D80" s="21">
        <v>39386.5</v>
      </c>
      <c r="E80" s="21">
        <v>13485.5</v>
      </c>
      <c r="F80" s="21">
        <v>2042</v>
      </c>
      <c r="G80" s="21">
        <v>0</v>
      </c>
      <c r="H80" s="21">
        <v>0</v>
      </c>
      <c r="I80" s="21">
        <v>0</v>
      </c>
      <c r="J80" s="21">
        <v>0</v>
      </c>
      <c r="K80" s="22">
        <v>0</v>
      </c>
      <c r="L80" s="21">
        <v>0</v>
      </c>
      <c r="M80" s="21">
        <v>0</v>
      </c>
      <c r="N80" s="26"/>
      <c r="O80" s="21">
        <f t="shared" si="5"/>
        <v>79097.5</v>
      </c>
      <c r="P80" s="21">
        <f t="shared" si="4"/>
        <v>2539922.3499999996</v>
      </c>
      <c r="Q80" s="24">
        <v>2460824.8499999996</v>
      </c>
      <c r="R80" s="24"/>
      <c r="S80" s="24"/>
      <c r="T80" s="25"/>
      <c r="U80" s="25"/>
      <c r="V80" s="25"/>
      <c r="W80" s="25"/>
    </row>
    <row r="81" spans="1:23" ht="15.75" customHeight="1" x14ac:dyDescent="0.25">
      <c r="A81" s="20" t="s">
        <v>5</v>
      </c>
      <c r="B81" s="21">
        <v>0</v>
      </c>
      <c r="C81" s="21">
        <v>3385.69</v>
      </c>
      <c r="D81" s="21">
        <v>5514.11</v>
      </c>
      <c r="E81" s="21">
        <v>1887.97</v>
      </c>
      <c r="F81" s="21">
        <v>285.88</v>
      </c>
      <c r="G81" s="21">
        <v>0</v>
      </c>
      <c r="H81" s="21">
        <v>0</v>
      </c>
      <c r="I81" s="21">
        <v>0</v>
      </c>
      <c r="J81" s="21">
        <v>0</v>
      </c>
      <c r="K81" s="22">
        <v>0</v>
      </c>
      <c r="L81" s="21">
        <v>0</v>
      </c>
      <c r="M81" s="21">
        <v>0</v>
      </c>
      <c r="N81" s="26"/>
      <c r="O81" s="21">
        <f t="shared" si="5"/>
        <v>11073.649999999998</v>
      </c>
      <c r="P81" s="21">
        <f t="shared" si="4"/>
        <v>343339.54000000004</v>
      </c>
      <c r="Q81" s="24">
        <v>332265.89</v>
      </c>
      <c r="R81" s="24"/>
      <c r="S81" s="24"/>
      <c r="T81" s="25"/>
      <c r="U81" s="25"/>
      <c r="V81" s="25"/>
      <c r="W81" s="25"/>
    </row>
    <row r="82" spans="1:23" ht="15.75" customHeight="1" x14ac:dyDescent="0.25">
      <c r="A82" s="32" t="s">
        <v>6</v>
      </c>
      <c r="B82" s="21">
        <v>0</v>
      </c>
      <c r="C82" s="21">
        <v>483.66999999999996</v>
      </c>
      <c r="D82" s="21">
        <v>787.73</v>
      </c>
      <c r="E82" s="21">
        <v>269.70999999999998</v>
      </c>
      <c r="F82" s="21">
        <v>40.840000000000003</v>
      </c>
      <c r="G82" s="21">
        <v>0</v>
      </c>
      <c r="H82" s="21">
        <v>0</v>
      </c>
      <c r="I82" s="21">
        <v>0</v>
      </c>
      <c r="J82" s="21">
        <v>0</v>
      </c>
      <c r="K82" s="22">
        <v>0</v>
      </c>
      <c r="L82" s="21">
        <v>0</v>
      </c>
      <c r="M82" s="21">
        <v>0</v>
      </c>
      <c r="N82" s="26"/>
      <c r="O82" s="21">
        <f t="shared" si="5"/>
        <v>1581.95</v>
      </c>
      <c r="P82" s="21">
        <f t="shared" si="4"/>
        <v>50798.5</v>
      </c>
      <c r="Q82" s="24">
        <v>49216.55</v>
      </c>
      <c r="R82" s="24"/>
      <c r="S82" s="24"/>
      <c r="T82" s="25"/>
      <c r="U82" s="25"/>
      <c r="V82" s="25"/>
      <c r="W82" s="25"/>
    </row>
    <row r="83" spans="1:23" ht="15.75" customHeight="1" x14ac:dyDescent="0.25">
      <c r="B83" s="21"/>
      <c r="C83" s="21"/>
      <c r="D83" s="21"/>
      <c r="E83" s="21"/>
      <c r="F83" s="21"/>
      <c r="G83" s="21"/>
      <c r="H83" s="25"/>
      <c r="I83" s="21"/>
      <c r="J83" s="21"/>
      <c r="K83" s="22"/>
      <c r="L83" s="21"/>
      <c r="M83" s="21"/>
      <c r="N83" s="26"/>
      <c r="O83" s="21"/>
      <c r="P83" s="21"/>
      <c r="Q83" s="24"/>
      <c r="R83" s="24"/>
      <c r="S83" s="24"/>
      <c r="T83" s="25"/>
      <c r="U83" s="25"/>
      <c r="V83" s="25"/>
      <c r="W83" s="25"/>
    </row>
    <row r="84" spans="1:23" ht="15.75" customHeight="1" x14ac:dyDescent="0.25">
      <c r="A84" s="12" t="s">
        <v>14</v>
      </c>
      <c r="B84" s="21"/>
      <c r="C84" s="21"/>
      <c r="D84" s="21"/>
      <c r="E84" s="21"/>
      <c r="F84" s="21"/>
      <c r="G84" s="21"/>
      <c r="H84" s="25"/>
      <c r="I84" s="21"/>
      <c r="J84" s="21"/>
      <c r="K84" s="22"/>
      <c r="L84" s="21"/>
      <c r="M84" s="21"/>
      <c r="N84" s="26"/>
      <c r="O84" s="21"/>
      <c r="P84" s="21"/>
      <c r="Q84" s="24"/>
      <c r="R84" s="24"/>
      <c r="S84" s="24"/>
      <c r="T84" s="25"/>
      <c r="U84" s="25"/>
      <c r="V84" s="25"/>
      <c r="W84" s="25"/>
    </row>
    <row r="85" spans="1:23" ht="15.75" customHeight="1" x14ac:dyDescent="0.25">
      <c r="A85" s="14" t="s">
        <v>3</v>
      </c>
      <c r="B85" s="15">
        <v>41</v>
      </c>
      <c r="C85" s="40">
        <v>41</v>
      </c>
      <c r="D85" s="15">
        <v>41</v>
      </c>
      <c r="E85" s="15">
        <v>41</v>
      </c>
      <c r="F85" s="15">
        <v>41</v>
      </c>
      <c r="G85" s="15">
        <v>41</v>
      </c>
      <c r="H85" s="15">
        <v>41</v>
      </c>
      <c r="I85" s="15">
        <v>41</v>
      </c>
      <c r="J85" s="15">
        <v>41</v>
      </c>
      <c r="K85" s="16">
        <v>41</v>
      </c>
      <c r="L85" s="15">
        <v>41</v>
      </c>
      <c r="M85" s="15">
        <v>41</v>
      </c>
      <c r="N85" s="27"/>
      <c r="O85" s="15"/>
      <c r="P85" s="21"/>
      <c r="Q85" s="24"/>
      <c r="R85" s="24"/>
      <c r="S85" s="24"/>
      <c r="T85" s="25"/>
      <c r="U85" s="25"/>
      <c r="V85" s="25"/>
      <c r="W85" s="25"/>
    </row>
    <row r="86" spans="1:23" ht="15.75" customHeight="1" x14ac:dyDescent="0.25">
      <c r="A86" s="20" t="s">
        <v>4</v>
      </c>
      <c r="B86" s="21">
        <v>1249669.9500000002</v>
      </c>
      <c r="C86" s="21">
        <v>1542179.6900000002</v>
      </c>
      <c r="D86" s="21">
        <v>1180661.1600000001</v>
      </c>
      <c r="E86" s="21">
        <v>1419128.31</v>
      </c>
      <c r="F86" s="21">
        <v>1004765.2699999999</v>
      </c>
      <c r="G86" s="21">
        <v>263332.53999999998</v>
      </c>
      <c r="H86" s="21">
        <v>941168.79</v>
      </c>
      <c r="I86" s="21">
        <v>1033964.79</v>
      </c>
      <c r="J86" s="21">
        <v>1365797.2799999998</v>
      </c>
      <c r="K86" s="22">
        <v>1385844.4999999998</v>
      </c>
      <c r="L86" s="21">
        <v>1287746.0100000002</v>
      </c>
      <c r="M86" s="21">
        <v>1373313.93</v>
      </c>
      <c r="N86" s="28"/>
      <c r="O86" s="21">
        <f>SUM(B86:M86)</f>
        <v>14047572.219999999</v>
      </c>
      <c r="P86" s="21">
        <f t="shared" si="4"/>
        <v>165323374.65999997</v>
      </c>
      <c r="Q86" s="24">
        <v>151275802.43999997</v>
      </c>
      <c r="R86" s="24"/>
      <c r="S86" s="24"/>
      <c r="T86" s="25"/>
      <c r="U86" s="25"/>
      <c r="V86" s="25"/>
      <c r="W86" s="25"/>
    </row>
    <row r="87" spans="1:23" ht="15.75" customHeight="1" x14ac:dyDescent="0.25">
      <c r="A87" s="20" t="s">
        <v>5</v>
      </c>
      <c r="B87" s="21">
        <v>174953.78999999998</v>
      </c>
      <c r="C87" s="21">
        <v>215905.16</v>
      </c>
      <c r="D87" s="21">
        <v>165292.55000000002</v>
      </c>
      <c r="E87" s="21">
        <v>198677.97</v>
      </c>
      <c r="F87" s="21">
        <v>140667.15</v>
      </c>
      <c r="G87" s="21">
        <v>36866.559999999998</v>
      </c>
      <c r="H87" s="21">
        <v>131763.63999999998</v>
      </c>
      <c r="I87" s="21">
        <v>144755.09</v>
      </c>
      <c r="J87" s="21">
        <v>191211.62000000002</v>
      </c>
      <c r="K87" s="22">
        <v>194018.23000000004</v>
      </c>
      <c r="L87" s="21">
        <v>180284.46</v>
      </c>
      <c r="M87" s="21">
        <v>192263.95</v>
      </c>
      <c r="N87" s="27"/>
      <c r="O87" s="21">
        <f>SUM(B87:M87)</f>
        <v>1966660.17</v>
      </c>
      <c r="P87" s="21">
        <f t="shared" si="4"/>
        <v>22438852.040000007</v>
      </c>
      <c r="Q87" s="24">
        <v>20472191.870000005</v>
      </c>
      <c r="R87" s="24"/>
      <c r="S87" s="24"/>
      <c r="T87" s="25"/>
      <c r="U87" s="25"/>
      <c r="V87" s="25"/>
      <c r="W87" s="25"/>
    </row>
    <row r="88" spans="1:23" ht="15.75" customHeight="1" x14ac:dyDescent="0.25">
      <c r="A88" s="20" t="s">
        <v>6</v>
      </c>
      <c r="B88" s="21">
        <v>24993.4</v>
      </c>
      <c r="C88" s="21">
        <v>30843.589999999997</v>
      </c>
      <c r="D88" s="21">
        <v>23613.22</v>
      </c>
      <c r="E88" s="21">
        <v>28382.57</v>
      </c>
      <c r="F88" s="21">
        <v>20095.3</v>
      </c>
      <c r="G88" s="21">
        <v>5266.65</v>
      </c>
      <c r="H88" s="21">
        <v>18823.38</v>
      </c>
      <c r="I88" s="21">
        <v>20679.310000000001</v>
      </c>
      <c r="J88" s="21">
        <v>27315.940000000006</v>
      </c>
      <c r="K88" s="22">
        <v>27716.89</v>
      </c>
      <c r="L88" s="21">
        <v>25754.94</v>
      </c>
      <c r="M88" s="21">
        <v>27466.28</v>
      </c>
      <c r="N88" s="28"/>
      <c r="O88" s="21">
        <f>SUM(B88:M88)</f>
        <v>280951.46999999997</v>
      </c>
      <c r="P88" s="21">
        <f t="shared" si="4"/>
        <v>3306468.5</v>
      </c>
      <c r="Q88" s="24">
        <v>3025517.03</v>
      </c>
      <c r="R88" s="24"/>
      <c r="S88" s="24"/>
      <c r="T88" s="25"/>
      <c r="U88" s="25"/>
      <c r="V88" s="25"/>
      <c r="W88" s="25"/>
    </row>
    <row r="89" spans="1:23" ht="15.75" customHeight="1" x14ac:dyDescent="0.25">
      <c r="A89" s="14" t="s">
        <v>7</v>
      </c>
      <c r="B89" s="15">
        <v>7</v>
      </c>
      <c r="C89" s="15">
        <v>7</v>
      </c>
      <c r="D89" s="15">
        <v>7</v>
      </c>
      <c r="E89" s="15">
        <v>7</v>
      </c>
      <c r="F89" s="15">
        <v>7</v>
      </c>
      <c r="G89" s="15">
        <v>7</v>
      </c>
      <c r="H89" s="15">
        <v>7</v>
      </c>
      <c r="I89" s="15">
        <v>7</v>
      </c>
      <c r="J89" s="15">
        <v>7</v>
      </c>
      <c r="K89" s="16">
        <v>7</v>
      </c>
      <c r="L89" s="15">
        <v>7</v>
      </c>
      <c r="M89" s="15">
        <v>7</v>
      </c>
      <c r="N89" s="27"/>
      <c r="O89" s="15"/>
      <c r="P89" s="21"/>
      <c r="Q89" s="24"/>
      <c r="R89" s="24"/>
      <c r="S89" s="24"/>
      <c r="T89" s="25"/>
      <c r="U89" s="25"/>
      <c r="V89" s="25"/>
      <c r="W89" s="25"/>
    </row>
    <row r="90" spans="1:23" ht="15.75" customHeight="1" x14ac:dyDescent="0.25">
      <c r="A90" s="20" t="s">
        <v>4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2">
        <v>0</v>
      </c>
      <c r="L90" s="21">
        <v>0</v>
      </c>
      <c r="M90" s="21">
        <v>0</v>
      </c>
      <c r="N90" s="29"/>
      <c r="O90" s="21">
        <f>SUM(B90:M90)</f>
        <v>0</v>
      </c>
      <c r="P90" s="21">
        <f t="shared" si="4"/>
        <v>9332242.5</v>
      </c>
      <c r="Q90" s="24">
        <v>9332242.5</v>
      </c>
      <c r="R90" s="24"/>
      <c r="S90" s="24"/>
      <c r="T90" s="25"/>
      <c r="U90" s="25"/>
      <c r="V90" s="25"/>
      <c r="W90" s="25"/>
    </row>
    <row r="91" spans="1:23" ht="15.75" customHeight="1" x14ac:dyDescent="0.25">
      <c r="A91" s="20" t="s">
        <v>5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2">
        <v>0</v>
      </c>
      <c r="L91" s="21">
        <v>0</v>
      </c>
      <c r="M91" s="21">
        <v>0</v>
      </c>
      <c r="N91" s="27"/>
      <c r="O91" s="21">
        <f>SUM(B91:M91)</f>
        <v>0</v>
      </c>
      <c r="P91" s="21">
        <f t="shared" si="4"/>
        <v>1218485.05</v>
      </c>
      <c r="Q91" s="24">
        <v>1218485.05</v>
      </c>
      <c r="R91" s="24"/>
      <c r="S91" s="24"/>
      <c r="T91" s="25"/>
      <c r="U91" s="25"/>
      <c r="V91" s="25"/>
      <c r="W91" s="25"/>
    </row>
    <row r="92" spans="1:23" ht="15.75" customHeight="1" x14ac:dyDescent="0.25">
      <c r="A92" s="20" t="s">
        <v>6</v>
      </c>
      <c r="B92" s="21">
        <v>0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2">
        <v>0</v>
      </c>
      <c r="L92" s="21">
        <v>0</v>
      </c>
      <c r="M92" s="21">
        <v>0</v>
      </c>
      <c r="N92" s="26"/>
      <c r="O92" s="21">
        <f>SUM(B92:M92)</f>
        <v>0</v>
      </c>
      <c r="P92" s="21">
        <f t="shared" si="4"/>
        <v>186644.85000000003</v>
      </c>
      <c r="Q92" s="24">
        <v>186644.85000000003</v>
      </c>
      <c r="R92" s="24"/>
      <c r="S92" s="24"/>
      <c r="T92" s="25"/>
      <c r="U92" s="25"/>
      <c r="V92" s="25"/>
      <c r="W92" s="25"/>
    </row>
    <row r="93" spans="1:23" ht="15.75" customHeight="1" x14ac:dyDescent="0.25">
      <c r="A93" s="14" t="s">
        <v>8</v>
      </c>
      <c r="B93" s="15">
        <v>30</v>
      </c>
      <c r="C93" s="15">
        <v>30</v>
      </c>
      <c r="D93" s="15">
        <v>30</v>
      </c>
      <c r="E93" s="15">
        <v>30</v>
      </c>
      <c r="F93" s="15">
        <v>30</v>
      </c>
      <c r="G93" s="15">
        <v>30</v>
      </c>
      <c r="H93" s="15">
        <v>30</v>
      </c>
      <c r="I93" s="15">
        <v>30</v>
      </c>
      <c r="J93" s="15">
        <v>30</v>
      </c>
      <c r="K93" s="16">
        <v>30</v>
      </c>
      <c r="L93" s="15">
        <v>30</v>
      </c>
      <c r="M93" s="15">
        <v>30</v>
      </c>
      <c r="N93" s="29"/>
      <c r="O93" s="15"/>
      <c r="P93" s="21"/>
      <c r="Q93" s="24"/>
      <c r="R93" s="24"/>
      <c r="S93" s="24"/>
      <c r="T93" s="25"/>
      <c r="U93" s="25"/>
      <c r="V93" s="25"/>
      <c r="W93" s="25"/>
    </row>
    <row r="94" spans="1:23" ht="15.75" customHeight="1" x14ac:dyDescent="0.25">
      <c r="A94" s="20" t="s">
        <v>4</v>
      </c>
      <c r="B94" s="21">
        <v>1188238.56</v>
      </c>
      <c r="C94" s="21">
        <v>1435667.11</v>
      </c>
      <c r="D94" s="21">
        <v>1121348.03</v>
      </c>
      <c r="E94" s="21">
        <v>1367976.69</v>
      </c>
      <c r="F94" s="21">
        <v>1003348.13</v>
      </c>
      <c r="G94" s="21">
        <v>255268.75</v>
      </c>
      <c r="H94" s="21">
        <v>893042.25</v>
      </c>
      <c r="I94" s="21">
        <v>959835.34</v>
      </c>
      <c r="J94" s="21">
        <v>1303947.75</v>
      </c>
      <c r="K94" s="22">
        <v>1310426.77</v>
      </c>
      <c r="L94" s="21">
        <v>1221226.69</v>
      </c>
      <c r="M94" s="21">
        <v>1324611.52</v>
      </c>
      <c r="N94" s="38"/>
      <c r="O94" s="21">
        <f t="shared" ref="O94:O101" si="6">SUM(B94:M94)</f>
        <v>13384937.589999998</v>
      </c>
      <c r="P94" s="21">
        <f t="shared" si="4"/>
        <v>151662578.09999999</v>
      </c>
      <c r="Q94" s="24">
        <v>138277640.50999999</v>
      </c>
      <c r="R94" s="24"/>
      <c r="S94" s="24"/>
      <c r="T94" s="25"/>
      <c r="U94" s="25"/>
      <c r="V94" s="25"/>
      <c r="W94" s="25"/>
    </row>
    <row r="95" spans="1:23" ht="15.75" customHeight="1" x14ac:dyDescent="0.25">
      <c r="A95" s="20" t="s">
        <v>5</v>
      </c>
      <c r="B95" s="21">
        <v>166353.39999999997</v>
      </c>
      <c r="C95" s="21">
        <v>200993.4</v>
      </c>
      <c r="D95" s="21">
        <v>156988.72</v>
      </c>
      <c r="E95" s="21">
        <v>191516.74</v>
      </c>
      <c r="F95" s="21">
        <v>140468.75</v>
      </c>
      <c r="G95" s="21">
        <v>35737.630000000005</v>
      </c>
      <c r="H95" s="21">
        <v>125025.91999999998</v>
      </c>
      <c r="I95" s="21">
        <v>134376.95999999999</v>
      </c>
      <c r="J95" s="21">
        <v>182552.69000000003</v>
      </c>
      <c r="K95" s="22">
        <v>183459.75</v>
      </c>
      <c r="L95" s="21">
        <v>170971.75000000003</v>
      </c>
      <c r="M95" s="21">
        <v>185445.61</v>
      </c>
      <c r="N95" s="35"/>
      <c r="O95" s="21">
        <f t="shared" si="6"/>
        <v>1873891.3199999998</v>
      </c>
      <c r="P95" s="21">
        <f t="shared" si="4"/>
        <v>20218864.419999998</v>
      </c>
      <c r="Q95" s="24">
        <v>18344973.099999998</v>
      </c>
      <c r="R95" s="24"/>
      <c r="S95" s="24"/>
      <c r="T95" s="25"/>
      <c r="U95" s="25"/>
      <c r="V95" s="25"/>
      <c r="W95" s="25"/>
    </row>
    <row r="96" spans="1:23" ht="15.75" customHeight="1" x14ac:dyDescent="0.25">
      <c r="A96" s="20" t="s">
        <v>6</v>
      </c>
      <c r="B96" s="21">
        <v>23764.78</v>
      </c>
      <c r="C96" s="21">
        <v>28713.35</v>
      </c>
      <c r="D96" s="21">
        <v>22426.959999999999</v>
      </c>
      <c r="E96" s="21">
        <v>27359.530000000002</v>
      </c>
      <c r="F96" s="21">
        <v>20066.969999999998</v>
      </c>
      <c r="G96" s="21">
        <v>5105.38</v>
      </c>
      <c r="H96" s="21">
        <v>17860.849999999999</v>
      </c>
      <c r="I96" s="21">
        <v>19196.72</v>
      </c>
      <c r="J96" s="21">
        <v>26078.95</v>
      </c>
      <c r="K96" s="22">
        <v>26208.54</v>
      </c>
      <c r="L96" s="21">
        <v>24424.54</v>
      </c>
      <c r="M96" s="21">
        <v>26492.23</v>
      </c>
      <c r="N96" s="23"/>
      <c r="O96" s="21">
        <f t="shared" si="6"/>
        <v>267698.80000000005</v>
      </c>
      <c r="P96" s="21">
        <f t="shared" si="4"/>
        <v>3033252.5900000008</v>
      </c>
      <c r="Q96" s="24">
        <v>2765553.7900000005</v>
      </c>
      <c r="R96" s="24"/>
      <c r="S96" s="24"/>
      <c r="T96" s="25"/>
      <c r="U96" s="25"/>
      <c r="V96" s="25"/>
      <c r="W96" s="25"/>
    </row>
    <row r="97" spans="1:23" ht="15.75" customHeight="1" x14ac:dyDescent="0.25">
      <c r="A97" s="14" t="s">
        <v>9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6">
        <v>0</v>
      </c>
      <c r="L97" s="16">
        <v>0</v>
      </c>
      <c r="M97" s="15">
        <v>0</v>
      </c>
      <c r="N97" s="26"/>
      <c r="O97" s="15"/>
      <c r="P97" s="21"/>
      <c r="Q97" s="24"/>
      <c r="R97" s="24"/>
      <c r="S97" s="24"/>
      <c r="T97" s="25"/>
      <c r="U97" s="25"/>
      <c r="V97" s="25"/>
      <c r="W97" s="25"/>
    </row>
    <row r="98" spans="1:23" ht="15.75" customHeight="1" x14ac:dyDescent="0.25">
      <c r="A98" s="20" t="s">
        <v>4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2">
        <v>0</v>
      </c>
      <c r="L98" s="21">
        <v>0</v>
      </c>
      <c r="M98" s="21">
        <v>0</v>
      </c>
      <c r="N98" s="26"/>
      <c r="O98" s="21">
        <f t="shared" si="6"/>
        <v>0</v>
      </c>
      <c r="P98" s="21">
        <f t="shared" si="4"/>
        <v>0</v>
      </c>
      <c r="Q98" s="24">
        <v>0</v>
      </c>
      <c r="R98" s="24"/>
      <c r="S98" s="24"/>
      <c r="T98" s="25"/>
      <c r="U98" s="25"/>
      <c r="V98" s="25"/>
      <c r="W98" s="25"/>
    </row>
    <row r="99" spans="1:23" ht="15.75" customHeight="1" x14ac:dyDescent="0.25">
      <c r="A99" s="20" t="s">
        <v>5</v>
      </c>
      <c r="B99" s="21">
        <v>0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2">
        <v>0</v>
      </c>
      <c r="L99" s="21">
        <v>0</v>
      </c>
      <c r="M99" s="21">
        <v>0</v>
      </c>
      <c r="N99" s="27"/>
      <c r="O99" s="21">
        <f t="shared" si="6"/>
        <v>0</v>
      </c>
      <c r="P99" s="21">
        <f t="shared" si="4"/>
        <v>0</v>
      </c>
      <c r="Q99" s="24">
        <v>0</v>
      </c>
      <c r="R99" s="24"/>
      <c r="S99" s="24"/>
      <c r="T99" s="25"/>
      <c r="U99" s="25"/>
      <c r="V99" s="25"/>
      <c r="W99" s="25"/>
    </row>
    <row r="100" spans="1:23" ht="15.75" customHeight="1" x14ac:dyDescent="0.25">
      <c r="A100" s="20" t="s">
        <v>6</v>
      </c>
      <c r="B100" s="21">
        <v>0</v>
      </c>
      <c r="C100" s="21">
        <v>0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2">
        <v>0</v>
      </c>
      <c r="L100" s="21">
        <v>0</v>
      </c>
      <c r="M100" s="21">
        <v>0</v>
      </c>
      <c r="N100" s="28"/>
      <c r="O100" s="21">
        <f t="shared" si="6"/>
        <v>0</v>
      </c>
      <c r="P100" s="21">
        <f t="shared" si="4"/>
        <v>0</v>
      </c>
      <c r="Q100" s="24">
        <v>0</v>
      </c>
      <c r="R100" s="24"/>
      <c r="S100" s="24"/>
      <c r="T100" s="25"/>
      <c r="U100" s="25"/>
      <c r="V100" s="25"/>
      <c r="W100" s="25"/>
    </row>
    <row r="101" spans="1:23" ht="15.75" customHeight="1" x14ac:dyDescent="0.25">
      <c r="A101" s="14" t="s">
        <v>10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6">
        <v>0</v>
      </c>
      <c r="L101" s="16">
        <v>0</v>
      </c>
      <c r="M101" s="15">
        <v>0</v>
      </c>
      <c r="N101" s="27"/>
      <c r="O101" s="15"/>
      <c r="P101" s="21"/>
      <c r="Q101" s="24"/>
      <c r="R101" s="24"/>
      <c r="S101" s="24"/>
      <c r="T101" s="25"/>
      <c r="U101" s="25"/>
      <c r="V101" s="25"/>
      <c r="W101" s="25"/>
    </row>
    <row r="102" spans="1:23" ht="15.75" customHeight="1" x14ac:dyDescent="0.25">
      <c r="A102" s="20" t="s">
        <v>4</v>
      </c>
      <c r="B102" s="21">
        <v>0</v>
      </c>
      <c r="C102" s="21">
        <v>0</v>
      </c>
      <c r="D102" s="21">
        <v>0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2">
        <v>0</v>
      </c>
      <c r="L102" s="21">
        <v>0</v>
      </c>
      <c r="M102" s="21">
        <v>0</v>
      </c>
      <c r="N102" s="28"/>
      <c r="O102" s="21">
        <f>SUM(B102:M102)</f>
        <v>0</v>
      </c>
      <c r="P102" s="21">
        <f t="shared" si="4"/>
        <v>1222736.5</v>
      </c>
      <c r="Q102" s="24">
        <v>1222736.5</v>
      </c>
      <c r="R102" s="24"/>
      <c r="S102" s="24"/>
      <c r="T102" s="25"/>
      <c r="U102" s="25"/>
      <c r="V102" s="25"/>
      <c r="W102" s="25"/>
    </row>
    <row r="103" spans="1:23" ht="15.75" customHeight="1" x14ac:dyDescent="0.25">
      <c r="A103" s="20" t="s">
        <v>5</v>
      </c>
      <c r="B103" s="21">
        <v>0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2">
        <v>0</v>
      </c>
      <c r="L103" s="21">
        <v>0</v>
      </c>
      <c r="M103" s="21">
        <v>0</v>
      </c>
      <c r="N103" s="27"/>
      <c r="O103" s="21">
        <f>SUM(B103:M103)</f>
        <v>0</v>
      </c>
      <c r="P103" s="21">
        <f t="shared" si="4"/>
        <v>566688.10000000009</v>
      </c>
      <c r="Q103" s="24">
        <v>566688.10000000009</v>
      </c>
      <c r="R103" s="24"/>
      <c r="S103" s="24"/>
      <c r="T103" s="25"/>
      <c r="U103" s="25"/>
      <c r="V103" s="25"/>
      <c r="W103" s="25"/>
    </row>
    <row r="104" spans="1:23" ht="15.75" customHeight="1" x14ac:dyDescent="0.25">
      <c r="A104" s="20" t="s">
        <v>6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2">
        <v>0</v>
      </c>
      <c r="L104" s="21">
        <v>0</v>
      </c>
      <c r="M104" s="21">
        <v>0</v>
      </c>
      <c r="N104" s="29"/>
      <c r="O104" s="21">
        <f>SUM(B104:M104)</f>
        <v>0</v>
      </c>
      <c r="P104" s="21">
        <f t="shared" si="4"/>
        <v>24454.73</v>
      </c>
      <c r="Q104" s="24">
        <v>24454.73</v>
      </c>
      <c r="R104" s="24"/>
      <c r="S104" s="24"/>
      <c r="T104" s="25"/>
      <c r="U104" s="25"/>
      <c r="V104" s="25"/>
      <c r="W104" s="25"/>
    </row>
    <row r="105" spans="1:23" ht="15.75" customHeight="1" x14ac:dyDescent="0.25">
      <c r="A105" s="31" t="s">
        <v>11</v>
      </c>
      <c r="B105" s="15">
        <v>4</v>
      </c>
      <c r="C105" s="15">
        <v>4</v>
      </c>
      <c r="D105" s="15">
        <v>4</v>
      </c>
      <c r="E105" s="15">
        <v>4</v>
      </c>
      <c r="F105" s="15">
        <v>4</v>
      </c>
      <c r="G105" s="15">
        <v>4</v>
      </c>
      <c r="H105" s="15">
        <v>4</v>
      </c>
      <c r="I105" s="15">
        <v>4</v>
      </c>
      <c r="J105" s="15">
        <v>4</v>
      </c>
      <c r="K105" s="15">
        <v>4</v>
      </c>
      <c r="L105" s="16">
        <v>4</v>
      </c>
      <c r="M105" s="15">
        <v>4</v>
      </c>
      <c r="N105" s="27"/>
      <c r="O105" s="15"/>
      <c r="P105" s="21"/>
      <c r="Q105" s="24"/>
      <c r="R105" s="24"/>
      <c r="S105" s="24"/>
      <c r="T105" s="25"/>
      <c r="U105" s="25"/>
      <c r="V105" s="25"/>
      <c r="W105" s="25"/>
    </row>
    <row r="106" spans="1:23" ht="15.75" customHeight="1" x14ac:dyDescent="0.25">
      <c r="A106" s="32" t="s">
        <v>4</v>
      </c>
      <c r="B106" s="21">
        <v>61431.39</v>
      </c>
      <c r="C106" s="21">
        <v>106512.58</v>
      </c>
      <c r="D106" s="21">
        <v>59313.13</v>
      </c>
      <c r="E106" s="21">
        <v>51151.62</v>
      </c>
      <c r="F106" s="21">
        <v>1417.1399999999987</v>
      </c>
      <c r="G106" s="21">
        <v>8063.7899999999991</v>
      </c>
      <c r="H106" s="21">
        <v>48126.54</v>
      </c>
      <c r="I106" s="21">
        <v>74129.450000000012</v>
      </c>
      <c r="J106" s="21">
        <v>61849.530000000006</v>
      </c>
      <c r="K106" s="21">
        <v>75417.73</v>
      </c>
      <c r="L106" s="21">
        <v>66519.319999999992</v>
      </c>
      <c r="M106" s="21">
        <v>48702.41</v>
      </c>
      <c r="N106" s="27"/>
      <c r="O106" s="21">
        <f t="shared" ref="O106:O108" si="7">SUM(B106:M106)</f>
        <v>662634.63</v>
      </c>
      <c r="P106" s="21">
        <f t="shared" si="4"/>
        <v>3105817.5599999996</v>
      </c>
      <c r="Q106" s="24">
        <v>2443182.9299999997</v>
      </c>
      <c r="R106" s="24"/>
      <c r="S106" s="24"/>
      <c r="T106" s="25"/>
      <c r="U106" s="25"/>
      <c r="V106" s="25"/>
      <c r="W106" s="25"/>
    </row>
    <row r="107" spans="1:23" ht="15.75" customHeight="1" x14ac:dyDescent="0.25">
      <c r="A107" s="20" t="s">
        <v>5</v>
      </c>
      <c r="B107" s="21">
        <v>8600.39</v>
      </c>
      <c r="C107" s="21">
        <v>14911.759999999998</v>
      </c>
      <c r="D107" s="21">
        <v>8303.83</v>
      </c>
      <c r="E107" s="21">
        <v>7161.23</v>
      </c>
      <c r="F107" s="21">
        <v>198.40000000000006</v>
      </c>
      <c r="G107" s="21">
        <v>1128.93</v>
      </c>
      <c r="H107" s="21">
        <v>6737.7199999999993</v>
      </c>
      <c r="I107" s="21">
        <v>10378.130000000001</v>
      </c>
      <c r="J107" s="21">
        <v>8658.9299999999985</v>
      </c>
      <c r="K107" s="21">
        <v>10558.48</v>
      </c>
      <c r="L107" s="21">
        <v>9312.7100000000009</v>
      </c>
      <c r="M107" s="21">
        <v>6818.34</v>
      </c>
      <c r="N107" s="27"/>
      <c r="O107" s="21">
        <f t="shared" si="7"/>
        <v>92768.849999999991</v>
      </c>
      <c r="P107" s="21">
        <f t="shared" si="4"/>
        <v>434814.47</v>
      </c>
      <c r="Q107" s="24">
        <v>342045.62</v>
      </c>
      <c r="R107" s="24"/>
      <c r="S107" s="24"/>
      <c r="T107" s="25"/>
      <c r="U107" s="25"/>
      <c r="V107" s="25"/>
      <c r="W107" s="25"/>
    </row>
    <row r="108" spans="1:23" ht="15.75" customHeight="1" x14ac:dyDescent="0.25">
      <c r="A108" s="32" t="s">
        <v>6</v>
      </c>
      <c r="B108" s="21">
        <v>1228.6200000000001</v>
      </c>
      <c r="C108" s="21">
        <v>2130.2400000000002</v>
      </c>
      <c r="D108" s="21">
        <v>1186.26</v>
      </c>
      <c r="E108" s="21">
        <v>1023.0400000000001</v>
      </c>
      <c r="F108" s="21">
        <v>28.330000000000013</v>
      </c>
      <c r="G108" s="21">
        <v>161.26999999999998</v>
      </c>
      <c r="H108" s="21">
        <v>962.53</v>
      </c>
      <c r="I108" s="21">
        <v>1482.5900000000001</v>
      </c>
      <c r="J108" s="21">
        <v>1236.99</v>
      </c>
      <c r="K108" s="21">
        <v>1508.35</v>
      </c>
      <c r="L108" s="21">
        <v>1330.4</v>
      </c>
      <c r="M108" s="21">
        <v>974.05</v>
      </c>
      <c r="N108" s="27"/>
      <c r="O108" s="21">
        <f t="shared" si="7"/>
        <v>13252.67</v>
      </c>
      <c r="P108" s="21">
        <f t="shared" si="4"/>
        <v>62116.340000000004</v>
      </c>
      <c r="Q108" s="24">
        <v>48863.670000000006</v>
      </c>
      <c r="R108" s="24"/>
      <c r="S108" s="24"/>
      <c r="T108" s="25"/>
      <c r="U108" s="25"/>
      <c r="V108" s="25"/>
      <c r="W108" s="25"/>
    </row>
    <row r="109" spans="1:23" ht="15.75" customHeight="1" x14ac:dyDescent="0.25">
      <c r="B109" s="15"/>
      <c r="C109" s="15"/>
      <c r="D109" s="15"/>
      <c r="E109" s="15"/>
      <c r="F109" s="15"/>
      <c r="G109" s="15"/>
      <c r="H109" s="25"/>
      <c r="I109" s="15"/>
      <c r="J109" s="15"/>
      <c r="K109" s="16"/>
      <c r="L109" s="15"/>
      <c r="M109" s="15"/>
      <c r="N109" s="27"/>
      <c r="O109" s="15"/>
      <c r="P109" s="21"/>
      <c r="Q109" s="24"/>
      <c r="R109" s="24"/>
      <c r="S109" s="24"/>
      <c r="T109" s="25"/>
      <c r="U109" s="25"/>
      <c r="V109" s="25"/>
      <c r="W109" s="25"/>
    </row>
    <row r="110" spans="1:23" ht="15.75" customHeight="1" x14ac:dyDescent="0.25">
      <c r="A110" s="12" t="s">
        <v>15</v>
      </c>
      <c r="B110" s="21"/>
      <c r="C110" s="21"/>
      <c r="D110" s="21"/>
      <c r="E110" s="21"/>
      <c r="F110" s="21"/>
      <c r="G110" s="21"/>
      <c r="H110" s="25"/>
      <c r="I110" s="21"/>
      <c r="J110" s="21"/>
      <c r="K110" s="22"/>
      <c r="L110" s="21"/>
      <c r="M110" s="21"/>
      <c r="N110" s="29"/>
      <c r="O110" s="21"/>
      <c r="P110" s="21"/>
      <c r="Q110" s="24"/>
      <c r="R110" s="24"/>
      <c r="S110" s="24"/>
      <c r="T110" s="25"/>
      <c r="U110" s="25"/>
      <c r="V110" s="25"/>
      <c r="W110" s="25"/>
    </row>
    <row r="111" spans="1:23" ht="15.75" customHeight="1" x14ac:dyDescent="0.25">
      <c r="A111" s="14" t="s">
        <v>3</v>
      </c>
      <c r="B111" s="15">
        <v>85</v>
      </c>
      <c r="C111" s="40">
        <v>85</v>
      </c>
      <c r="D111" s="15">
        <v>86.6</v>
      </c>
      <c r="E111" s="15">
        <v>92.4</v>
      </c>
      <c r="F111" s="15">
        <v>93</v>
      </c>
      <c r="G111" s="15">
        <v>93</v>
      </c>
      <c r="H111" s="15">
        <v>94</v>
      </c>
      <c r="I111" s="15">
        <v>94.25</v>
      </c>
      <c r="J111" s="15">
        <v>94.8</v>
      </c>
      <c r="K111" s="16">
        <v>95</v>
      </c>
      <c r="L111" s="15">
        <v>95</v>
      </c>
      <c r="M111" s="15">
        <v>95</v>
      </c>
      <c r="N111" s="27"/>
      <c r="O111" s="15"/>
      <c r="P111" s="21"/>
      <c r="Q111" s="24"/>
      <c r="R111" s="24"/>
      <c r="S111" s="24"/>
      <c r="T111" s="25"/>
      <c r="U111" s="25"/>
      <c r="V111" s="25"/>
      <c r="W111" s="25"/>
    </row>
    <row r="112" spans="1:23" ht="15.75" customHeight="1" x14ac:dyDescent="0.25">
      <c r="A112" s="20" t="s">
        <v>4</v>
      </c>
      <c r="B112" s="21">
        <v>2871067.1700000004</v>
      </c>
      <c r="C112" s="21">
        <v>2344348.8199999998</v>
      </c>
      <c r="D112" s="21">
        <v>1786023.3900000001</v>
      </c>
      <c r="E112" s="21">
        <v>2077934.8</v>
      </c>
      <c r="F112" s="21">
        <v>1749241.85</v>
      </c>
      <c r="G112" s="21">
        <v>750536.25</v>
      </c>
      <c r="H112" s="21">
        <v>1980493.25</v>
      </c>
      <c r="I112" s="21">
        <v>1529105</v>
      </c>
      <c r="J112" s="21">
        <v>1825356.21</v>
      </c>
      <c r="K112" s="22">
        <v>2258727.36</v>
      </c>
      <c r="L112" s="21">
        <v>2642480.5099999998</v>
      </c>
      <c r="M112" s="21">
        <v>2167934.25</v>
      </c>
      <c r="N112" s="26"/>
      <c r="O112" s="21">
        <f>SUM(B112:M112)</f>
        <v>23983248.859999999</v>
      </c>
      <c r="P112" s="21">
        <f t="shared" si="4"/>
        <v>349912412.33000004</v>
      </c>
      <c r="Q112" s="24">
        <v>325929163.47000003</v>
      </c>
      <c r="R112" s="24"/>
      <c r="S112" s="24"/>
      <c r="T112" s="25"/>
      <c r="U112" s="25"/>
      <c r="V112" s="25"/>
      <c r="W112" s="25"/>
    </row>
    <row r="113" spans="1:23" ht="15.75" customHeight="1" x14ac:dyDescent="0.25">
      <c r="A113" s="20" t="s">
        <v>5</v>
      </c>
      <c r="B113" s="21">
        <v>414125.85</v>
      </c>
      <c r="C113" s="21">
        <v>338409.87</v>
      </c>
      <c r="D113" s="21">
        <v>284101.08</v>
      </c>
      <c r="E113" s="21">
        <v>314902.98000000004</v>
      </c>
      <c r="F113" s="21">
        <v>266628.19</v>
      </c>
      <c r="G113" s="21">
        <v>111329.04000000001</v>
      </c>
      <c r="H113" s="21">
        <v>303251.19</v>
      </c>
      <c r="I113" s="21">
        <v>228204.25999999998</v>
      </c>
      <c r="J113" s="21">
        <v>284310.82</v>
      </c>
      <c r="K113" s="22">
        <v>345246.1</v>
      </c>
      <c r="L113" s="21">
        <v>404298.67999999993</v>
      </c>
      <c r="M113" s="21">
        <v>332104.13000000006</v>
      </c>
      <c r="N113" s="25"/>
      <c r="O113" s="21">
        <f>SUM(B113:M113)</f>
        <v>3626912.1899999995</v>
      </c>
      <c r="P113" s="21">
        <f t="shared" si="4"/>
        <v>48105820.899999999</v>
      </c>
      <c r="Q113" s="24">
        <v>44478908.710000001</v>
      </c>
      <c r="R113" s="24"/>
      <c r="S113" s="24"/>
      <c r="T113" s="25"/>
      <c r="U113" s="25"/>
      <c r="V113" s="25"/>
      <c r="W113" s="25"/>
    </row>
    <row r="114" spans="1:23" ht="15.75" customHeight="1" x14ac:dyDescent="0.25">
      <c r="A114" s="20" t="s">
        <v>6</v>
      </c>
      <c r="B114" s="21">
        <v>57421.37</v>
      </c>
      <c r="C114" s="21">
        <v>46886.990000000005</v>
      </c>
      <c r="D114" s="21">
        <v>35720.47</v>
      </c>
      <c r="E114" s="21">
        <v>41558.71</v>
      </c>
      <c r="F114" s="21">
        <v>34984.839999999997</v>
      </c>
      <c r="G114" s="21">
        <v>15010.73</v>
      </c>
      <c r="H114" s="21">
        <v>39609.880000000005</v>
      </c>
      <c r="I114" s="21">
        <v>30582.11</v>
      </c>
      <c r="J114" s="21">
        <v>36507.14</v>
      </c>
      <c r="K114" s="22">
        <v>45174.55000000001</v>
      </c>
      <c r="L114" s="21">
        <v>52849.63</v>
      </c>
      <c r="M114" s="21">
        <v>43358.7</v>
      </c>
      <c r="N114" s="25"/>
      <c r="O114" s="21">
        <f>SUM(B114:M114)</f>
        <v>479665.12</v>
      </c>
      <c r="P114" s="21">
        <f t="shared" si="4"/>
        <v>6998249.3799999999</v>
      </c>
      <c r="Q114" s="24">
        <v>6518584.2599999998</v>
      </c>
      <c r="R114" s="24"/>
      <c r="S114" s="24"/>
      <c r="T114" s="25"/>
      <c r="U114" s="25"/>
      <c r="V114" s="25"/>
      <c r="W114" s="25"/>
    </row>
    <row r="115" spans="1:23" ht="15.75" customHeight="1" x14ac:dyDescent="0.25">
      <c r="A115" s="14" t="s">
        <v>7</v>
      </c>
      <c r="B115" s="15">
        <v>14</v>
      </c>
      <c r="C115" s="15">
        <v>14</v>
      </c>
      <c r="D115" s="15">
        <v>14</v>
      </c>
      <c r="E115" s="15">
        <v>14</v>
      </c>
      <c r="F115" s="15">
        <v>14</v>
      </c>
      <c r="G115" s="15">
        <v>14</v>
      </c>
      <c r="H115" s="15">
        <v>14</v>
      </c>
      <c r="I115" s="15">
        <v>14</v>
      </c>
      <c r="J115" s="15">
        <v>14</v>
      </c>
      <c r="K115" s="16">
        <v>14</v>
      </c>
      <c r="L115" s="15">
        <v>14</v>
      </c>
      <c r="M115" s="15">
        <v>14</v>
      </c>
      <c r="N115" s="25"/>
      <c r="O115" s="15"/>
      <c r="P115" s="21"/>
      <c r="Q115" s="24"/>
      <c r="R115" s="24"/>
      <c r="S115" s="24"/>
      <c r="T115" s="25"/>
      <c r="U115" s="25"/>
      <c r="V115" s="25"/>
      <c r="W115" s="25"/>
    </row>
    <row r="116" spans="1:23" ht="15.75" customHeight="1" x14ac:dyDescent="0.25">
      <c r="A116" s="20" t="s">
        <v>4</v>
      </c>
      <c r="B116" s="21">
        <v>0</v>
      </c>
      <c r="C116" s="21">
        <v>0</v>
      </c>
      <c r="D116" s="21">
        <v>0</v>
      </c>
      <c r="E116" s="21">
        <v>29595</v>
      </c>
      <c r="F116" s="21">
        <v>45318</v>
      </c>
      <c r="G116" s="21">
        <v>12184</v>
      </c>
      <c r="H116" s="21">
        <v>0</v>
      </c>
      <c r="I116" s="21">
        <v>26672</v>
      </c>
      <c r="J116" s="21">
        <v>55129</v>
      </c>
      <c r="K116" s="22">
        <v>73312</v>
      </c>
      <c r="L116" s="21">
        <v>82151.009999999995</v>
      </c>
      <c r="M116" s="21">
        <v>82364</v>
      </c>
      <c r="N116" s="25"/>
      <c r="O116" s="21">
        <f>SUM(B116:M116)</f>
        <v>406725.01</v>
      </c>
      <c r="P116" s="21">
        <f t="shared" si="4"/>
        <v>24756620.780000001</v>
      </c>
      <c r="Q116" s="24">
        <v>24349895.77</v>
      </c>
      <c r="R116" s="24"/>
      <c r="S116" s="24"/>
      <c r="T116" s="25"/>
      <c r="U116" s="25"/>
      <c r="V116" s="25"/>
      <c r="W116" s="25"/>
    </row>
    <row r="117" spans="1:23" ht="15.75" customHeight="1" x14ac:dyDescent="0.25">
      <c r="A117" s="20" t="s">
        <v>5</v>
      </c>
      <c r="B117" s="21">
        <v>0</v>
      </c>
      <c r="C117" s="21">
        <v>0</v>
      </c>
      <c r="D117" s="21">
        <v>0</v>
      </c>
      <c r="E117" s="21">
        <v>4143.3</v>
      </c>
      <c r="F117" s="21">
        <v>6344.52</v>
      </c>
      <c r="G117" s="21">
        <v>1705.76</v>
      </c>
      <c r="H117" s="21">
        <v>0</v>
      </c>
      <c r="I117" s="21">
        <v>3734.08</v>
      </c>
      <c r="J117" s="21">
        <v>7718.06</v>
      </c>
      <c r="K117" s="22">
        <v>10263.68</v>
      </c>
      <c r="L117" s="21">
        <v>11501.140000000001</v>
      </c>
      <c r="M117" s="21">
        <v>11530.96</v>
      </c>
      <c r="N117" s="25"/>
      <c r="O117" s="21">
        <f>SUM(B117:M117)</f>
        <v>56941.5</v>
      </c>
      <c r="P117" s="21">
        <f t="shared" si="4"/>
        <v>3268269.14</v>
      </c>
      <c r="Q117" s="24">
        <v>3211327.64</v>
      </c>
      <c r="R117" s="24"/>
      <c r="S117" s="24"/>
      <c r="T117" s="25"/>
      <c r="U117" s="25"/>
      <c r="V117" s="25"/>
      <c r="W117" s="25"/>
    </row>
    <row r="118" spans="1:23" ht="15.75" customHeight="1" x14ac:dyDescent="0.25">
      <c r="A118" s="20" t="s">
        <v>6</v>
      </c>
      <c r="B118" s="21">
        <v>0</v>
      </c>
      <c r="C118" s="21">
        <v>0</v>
      </c>
      <c r="D118" s="21">
        <v>0</v>
      </c>
      <c r="E118" s="21">
        <v>591.9</v>
      </c>
      <c r="F118" s="21">
        <v>906.36</v>
      </c>
      <c r="G118" s="21">
        <v>243.68</v>
      </c>
      <c r="H118" s="21">
        <v>0</v>
      </c>
      <c r="I118" s="21">
        <v>533.43999999999994</v>
      </c>
      <c r="J118" s="21">
        <v>1102.58</v>
      </c>
      <c r="K118" s="22">
        <v>1466.2399999999998</v>
      </c>
      <c r="L118" s="21">
        <v>1643.02</v>
      </c>
      <c r="M118" s="21">
        <v>1647.28</v>
      </c>
      <c r="N118" s="25"/>
      <c r="O118" s="21">
        <f>SUM(B118:M118)</f>
        <v>8134.4999999999991</v>
      </c>
      <c r="P118" s="21">
        <f t="shared" si="4"/>
        <v>495132.43</v>
      </c>
      <c r="Q118" s="24">
        <v>486997.93</v>
      </c>
      <c r="R118" s="24"/>
      <c r="S118" s="24"/>
      <c r="T118" s="25"/>
      <c r="U118" s="25"/>
      <c r="V118" s="25"/>
      <c r="W118" s="25"/>
    </row>
    <row r="119" spans="1:23" ht="15.75" customHeight="1" x14ac:dyDescent="0.25">
      <c r="A119" s="14" t="s">
        <v>8</v>
      </c>
      <c r="B119" s="15">
        <v>67</v>
      </c>
      <c r="C119" s="15">
        <v>67</v>
      </c>
      <c r="D119" s="15">
        <v>67</v>
      </c>
      <c r="E119" s="15">
        <v>67.599999999999994</v>
      </c>
      <c r="F119" s="15">
        <v>67</v>
      </c>
      <c r="G119" s="15">
        <v>67</v>
      </c>
      <c r="H119" s="15">
        <v>67</v>
      </c>
      <c r="I119" s="15">
        <v>67.25</v>
      </c>
      <c r="J119" s="15">
        <v>67.8</v>
      </c>
      <c r="K119" s="16">
        <v>68</v>
      </c>
      <c r="L119" s="15">
        <v>68</v>
      </c>
      <c r="M119" s="15">
        <v>68</v>
      </c>
      <c r="N119" s="25"/>
      <c r="O119" s="15"/>
      <c r="P119" s="21"/>
      <c r="Q119" s="24"/>
      <c r="R119" s="24"/>
      <c r="S119" s="24"/>
      <c r="T119" s="25"/>
      <c r="U119" s="25"/>
      <c r="V119" s="25"/>
      <c r="W119" s="25"/>
    </row>
    <row r="120" spans="1:23" ht="15.75" customHeight="1" x14ac:dyDescent="0.25">
      <c r="A120" s="20" t="s">
        <v>4</v>
      </c>
      <c r="B120" s="21">
        <v>2750702.65</v>
      </c>
      <c r="C120" s="21">
        <v>2286365.2599999998</v>
      </c>
      <c r="D120" s="21">
        <v>1643287.8900000001</v>
      </c>
      <c r="E120" s="21">
        <v>1933167.3</v>
      </c>
      <c r="F120" s="21">
        <v>1603195.35</v>
      </c>
      <c r="G120" s="21">
        <v>716409.25</v>
      </c>
      <c r="H120" s="21">
        <v>1880131.25</v>
      </c>
      <c r="I120" s="21">
        <v>1438821</v>
      </c>
      <c r="J120" s="21">
        <v>1640990.71</v>
      </c>
      <c r="K120" s="22">
        <v>2079910.3599999999</v>
      </c>
      <c r="L120" s="21">
        <v>2425707.5</v>
      </c>
      <c r="M120" s="21">
        <v>2002482.75</v>
      </c>
      <c r="N120" s="25"/>
      <c r="O120" s="21">
        <f t="shared" ref="O120:O126" si="8">SUM(B120:M120)</f>
        <v>22401171.27</v>
      </c>
      <c r="P120" s="21">
        <f t="shared" si="4"/>
        <v>318920582.63999999</v>
      </c>
      <c r="Q120" s="24">
        <v>296519411.37</v>
      </c>
      <c r="R120" s="24"/>
      <c r="S120" s="24"/>
      <c r="T120" s="25"/>
      <c r="U120" s="25"/>
      <c r="V120" s="25"/>
      <c r="W120" s="25"/>
    </row>
    <row r="121" spans="1:23" ht="15.75" customHeight="1" x14ac:dyDescent="0.25">
      <c r="A121" s="20" t="s">
        <v>5</v>
      </c>
      <c r="B121" s="21">
        <v>385098.38999999996</v>
      </c>
      <c r="C121" s="21">
        <v>320091.15000000002</v>
      </c>
      <c r="D121" s="21">
        <v>230060.31</v>
      </c>
      <c r="E121" s="21">
        <v>270643.43</v>
      </c>
      <c r="F121" s="21">
        <v>224447.35</v>
      </c>
      <c r="G121" s="21">
        <v>100297.3</v>
      </c>
      <c r="H121" s="21">
        <v>263218.39</v>
      </c>
      <c r="I121" s="21">
        <v>201434.95</v>
      </c>
      <c r="J121" s="21">
        <v>229738.71</v>
      </c>
      <c r="K121" s="22">
        <v>291187.45</v>
      </c>
      <c r="L121" s="21">
        <v>339599.07</v>
      </c>
      <c r="M121" s="21">
        <v>280347.59999999998</v>
      </c>
      <c r="N121" s="25"/>
      <c r="O121" s="21">
        <f t="shared" si="8"/>
        <v>3136164.1000000006</v>
      </c>
      <c r="P121" s="21">
        <f t="shared" si="4"/>
        <v>42283234.650000006</v>
      </c>
      <c r="Q121" s="24">
        <v>39147070.550000004</v>
      </c>
      <c r="R121" s="24"/>
      <c r="S121" s="24"/>
      <c r="T121" s="25"/>
      <c r="U121" s="25"/>
      <c r="V121" s="25"/>
      <c r="W121" s="25"/>
    </row>
    <row r="122" spans="1:23" ht="15.75" customHeight="1" x14ac:dyDescent="0.25">
      <c r="A122" s="20" t="s">
        <v>6</v>
      </c>
      <c r="B122" s="21">
        <v>55014.069999999992</v>
      </c>
      <c r="C122" s="21">
        <v>45727.32</v>
      </c>
      <c r="D122" s="21">
        <v>32865.760000000002</v>
      </c>
      <c r="E122" s="21">
        <v>38663.360000000001</v>
      </c>
      <c r="F122" s="21">
        <v>32063.910000000003</v>
      </c>
      <c r="G122" s="21">
        <v>14328.189999999999</v>
      </c>
      <c r="H122" s="21">
        <v>37602.639999999999</v>
      </c>
      <c r="I122" s="21">
        <v>28776.43</v>
      </c>
      <c r="J122" s="21">
        <v>32819.83</v>
      </c>
      <c r="K122" s="22">
        <v>41598.21</v>
      </c>
      <c r="L122" s="21">
        <v>48514.17</v>
      </c>
      <c r="M122" s="21">
        <v>40049.67</v>
      </c>
      <c r="N122" s="25"/>
      <c r="O122" s="21">
        <f t="shared" si="8"/>
        <v>448023.56</v>
      </c>
      <c r="P122" s="21">
        <f t="shared" si="4"/>
        <v>6378412.7799999993</v>
      </c>
      <c r="Q122" s="24">
        <v>5930389.2199999997</v>
      </c>
      <c r="R122" s="24"/>
      <c r="S122" s="24"/>
      <c r="T122" s="25"/>
      <c r="U122" s="25"/>
      <c r="V122" s="25"/>
      <c r="W122" s="25"/>
    </row>
    <row r="123" spans="1:23" ht="15.75" customHeight="1" x14ac:dyDescent="0.25">
      <c r="A123" s="14" t="s">
        <v>9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6">
        <v>0</v>
      </c>
      <c r="L123" s="16">
        <v>0</v>
      </c>
      <c r="M123" s="15">
        <v>0</v>
      </c>
      <c r="N123" s="25"/>
      <c r="O123" s="15"/>
      <c r="P123" s="21"/>
      <c r="Q123" s="24"/>
      <c r="R123" s="24"/>
      <c r="S123" s="24"/>
      <c r="T123" s="25"/>
      <c r="U123" s="25"/>
      <c r="V123" s="25"/>
      <c r="W123" s="25"/>
    </row>
    <row r="124" spans="1:23" ht="15.75" customHeight="1" x14ac:dyDescent="0.25">
      <c r="A124" s="20" t="s">
        <v>4</v>
      </c>
      <c r="B124" s="21">
        <v>0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2">
        <v>0</v>
      </c>
      <c r="L124" s="21">
        <v>0</v>
      </c>
      <c r="M124" s="21">
        <v>0</v>
      </c>
      <c r="N124" s="25"/>
      <c r="O124" s="21">
        <f t="shared" si="8"/>
        <v>0</v>
      </c>
      <c r="P124" s="21">
        <f t="shared" si="4"/>
        <v>0</v>
      </c>
      <c r="Q124" s="24">
        <v>0</v>
      </c>
      <c r="R124" s="24"/>
      <c r="S124" s="24"/>
      <c r="T124" s="25"/>
      <c r="U124" s="25"/>
      <c r="V124" s="25"/>
      <c r="W124" s="25"/>
    </row>
    <row r="125" spans="1:23" ht="15.75" customHeight="1" x14ac:dyDescent="0.25">
      <c r="A125" s="20" t="s">
        <v>5</v>
      </c>
      <c r="B125" s="21">
        <v>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2">
        <v>0</v>
      </c>
      <c r="L125" s="21">
        <v>0</v>
      </c>
      <c r="M125" s="21">
        <v>0</v>
      </c>
      <c r="N125" s="25"/>
      <c r="O125" s="21">
        <f t="shared" si="8"/>
        <v>0</v>
      </c>
      <c r="P125" s="21">
        <f t="shared" si="4"/>
        <v>0</v>
      </c>
      <c r="Q125" s="24">
        <v>0</v>
      </c>
      <c r="R125" s="24"/>
      <c r="S125" s="24"/>
      <c r="T125" s="25"/>
      <c r="U125" s="25"/>
      <c r="V125" s="25"/>
      <c r="W125" s="25"/>
    </row>
    <row r="126" spans="1:23" ht="15.75" customHeight="1" x14ac:dyDescent="0.25">
      <c r="A126" s="20" t="s">
        <v>6</v>
      </c>
      <c r="B126" s="21">
        <v>0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2">
        <v>0</v>
      </c>
      <c r="L126" s="21">
        <v>0</v>
      </c>
      <c r="M126" s="21">
        <v>0</v>
      </c>
      <c r="N126" s="25"/>
      <c r="O126" s="21">
        <f t="shared" si="8"/>
        <v>0</v>
      </c>
      <c r="P126" s="21">
        <f t="shared" si="4"/>
        <v>0</v>
      </c>
      <c r="Q126" s="24">
        <v>0</v>
      </c>
      <c r="R126" s="24"/>
      <c r="S126" s="24"/>
      <c r="T126" s="25"/>
      <c r="U126" s="25"/>
      <c r="V126" s="25"/>
      <c r="W126" s="25"/>
    </row>
    <row r="127" spans="1:23" ht="15.75" customHeight="1" x14ac:dyDescent="0.25">
      <c r="A127" s="14" t="s">
        <v>10</v>
      </c>
      <c r="B127" s="15">
        <v>2</v>
      </c>
      <c r="C127" s="15">
        <v>2</v>
      </c>
      <c r="D127" s="15">
        <v>2</v>
      </c>
      <c r="E127" s="15">
        <v>6.8</v>
      </c>
      <c r="F127" s="15">
        <v>8</v>
      </c>
      <c r="G127" s="15">
        <v>8</v>
      </c>
      <c r="H127" s="15">
        <v>9</v>
      </c>
      <c r="I127" s="15">
        <v>9</v>
      </c>
      <c r="J127" s="15">
        <v>9</v>
      </c>
      <c r="K127" s="16">
        <v>9</v>
      </c>
      <c r="L127" s="15">
        <v>9</v>
      </c>
      <c r="M127" s="15">
        <v>9</v>
      </c>
      <c r="N127" s="25"/>
      <c r="O127" s="15"/>
      <c r="P127" s="21"/>
      <c r="Q127" s="24"/>
      <c r="R127" s="24"/>
      <c r="S127" s="24"/>
      <c r="T127" s="25"/>
      <c r="U127" s="25"/>
      <c r="V127" s="25"/>
      <c r="W127" s="25"/>
    </row>
    <row r="128" spans="1:23" ht="15.75" customHeight="1" x14ac:dyDescent="0.25">
      <c r="A128" s="20" t="s">
        <v>4</v>
      </c>
      <c r="B128" s="21">
        <v>35813</v>
      </c>
      <c r="C128" s="21">
        <v>30003</v>
      </c>
      <c r="D128" s="21">
        <v>100170</v>
      </c>
      <c r="E128" s="21">
        <v>70565</v>
      </c>
      <c r="F128" s="21">
        <v>63924.5</v>
      </c>
      <c r="G128" s="21">
        <v>18394</v>
      </c>
      <c r="H128" s="21">
        <v>76418</v>
      </c>
      <c r="I128" s="21">
        <v>41557.5</v>
      </c>
      <c r="J128" s="21">
        <v>84591</v>
      </c>
      <c r="K128" s="22">
        <v>85365.5</v>
      </c>
      <c r="L128" s="21">
        <v>101033.5</v>
      </c>
      <c r="M128" s="21">
        <v>84098</v>
      </c>
      <c r="N128" s="25"/>
      <c r="O128" s="21">
        <f>SUM(B128:M128)</f>
        <v>791933</v>
      </c>
      <c r="P128" s="21">
        <f t="shared" si="4"/>
        <v>4999662.0599999996</v>
      </c>
      <c r="Q128" s="24">
        <v>4207729.0599999996</v>
      </c>
      <c r="R128" s="24"/>
      <c r="S128" s="24"/>
      <c r="T128" s="25"/>
      <c r="U128" s="25"/>
      <c r="V128" s="25"/>
      <c r="W128" s="25"/>
    </row>
    <row r="129" spans="1:23" ht="15.75" customHeight="1" x14ac:dyDescent="0.25">
      <c r="A129" s="20" t="s">
        <v>5</v>
      </c>
      <c r="B129" s="21">
        <v>17190.240000000002</v>
      </c>
      <c r="C129" s="21">
        <v>14401.44</v>
      </c>
      <c r="D129" s="21">
        <v>48081.599999999991</v>
      </c>
      <c r="E129" s="21">
        <v>33871.199999999997</v>
      </c>
      <c r="F129" s="21">
        <v>30683.759999999995</v>
      </c>
      <c r="G129" s="21">
        <v>8829.1200000000008</v>
      </c>
      <c r="H129" s="21">
        <v>36680.639999999999</v>
      </c>
      <c r="I129" s="21">
        <v>19947.599999999999</v>
      </c>
      <c r="J129" s="21">
        <v>40603.68</v>
      </c>
      <c r="K129" s="22">
        <v>40975.439999999995</v>
      </c>
      <c r="L129" s="21">
        <v>48496.08</v>
      </c>
      <c r="M129" s="21">
        <v>40367.040000000001</v>
      </c>
      <c r="N129" s="25"/>
      <c r="O129" s="21">
        <f>SUM(B129:M129)</f>
        <v>380127.83999999997</v>
      </c>
      <c r="P129" s="21">
        <f t="shared" si="4"/>
        <v>2381340.4699999997</v>
      </c>
      <c r="Q129" s="24">
        <v>2001212.63</v>
      </c>
      <c r="R129" s="24"/>
      <c r="S129" s="24"/>
      <c r="T129" s="25"/>
      <c r="U129" s="25"/>
      <c r="V129" s="25"/>
      <c r="W129" s="25"/>
    </row>
    <row r="130" spans="1:23" ht="15.75" customHeight="1" x14ac:dyDescent="0.25">
      <c r="A130" s="20" t="s">
        <v>6</v>
      </c>
      <c r="B130" s="21">
        <v>716.25999999999988</v>
      </c>
      <c r="C130" s="21">
        <v>600.05999999999995</v>
      </c>
      <c r="D130" s="21">
        <v>2003.4</v>
      </c>
      <c r="E130" s="21">
        <v>1411.3000000000002</v>
      </c>
      <c r="F130" s="21">
        <v>1278.4900000000002</v>
      </c>
      <c r="G130" s="21">
        <v>367.88</v>
      </c>
      <c r="H130" s="21">
        <v>1528.36</v>
      </c>
      <c r="I130" s="21">
        <v>831.15</v>
      </c>
      <c r="J130" s="21">
        <v>1691.8200000000002</v>
      </c>
      <c r="K130" s="22">
        <v>1707.31</v>
      </c>
      <c r="L130" s="21">
        <v>2020.67</v>
      </c>
      <c r="M130" s="21">
        <v>1681.96</v>
      </c>
      <c r="N130" s="25"/>
      <c r="O130" s="21">
        <f>SUM(B130:M130)</f>
        <v>15838.66</v>
      </c>
      <c r="P130" s="21">
        <f t="shared" si="4"/>
        <v>99993.239999999991</v>
      </c>
      <c r="Q130" s="24">
        <v>84154.579999999987</v>
      </c>
      <c r="R130" s="24"/>
      <c r="S130" s="24"/>
      <c r="T130" s="25"/>
      <c r="U130" s="25"/>
      <c r="V130" s="25"/>
      <c r="W130" s="25"/>
    </row>
    <row r="131" spans="1:23" ht="15.75" customHeight="1" x14ac:dyDescent="0.25">
      <c r="A131" s="31" t="s">
        <v>11</v>
      </c>
      <c r="B131" s="15">
        <v>2</v>
      </c>
      <c r="C131" s="15">
        <v>2</v>
      </c>
      <c r="D131" s="15">
        <v>3.6</v>
      </c>
      <c r="E131" s="15">
        <v>4</v>
      </c>
      <c r="F131" s="15">
        <v>4</v>
      </c>
      <c r="G131" s="15">
        <v>4</v>
      </c>
      <c r="H131" s="15">
        <v>4</v>
      </c>
      <c r="I131" s="15">
        <v>4</v>
      </c>
      <c r="J131" s="15">
        <v>4</v>
      </c>
      <c r="K131" s="15">
        <v>4</v>
      </c>
      <c r="L131" s="15">
        <v>4</v>
      </c>
      <c r="M131" s="15">
        <v>4</v>
      </c>
      <c r="N131" s="25"/>
      <c r="O131" s="21"/>
      <c r="P131" s="21"/>
      <c r="Q131" s="24"/>
      <c r="R131" s="24"/>
      <c r="S131" s="24"/>
      <c r="T131" s="25"/>
      <c r="U131" s="25"/>
      <c r="V131" s="25"/>
      <c r="W131" s="25"/>
    </row>
    <row r="132" spans="1:23" ht="15.75" customHeight="1" x14ac:dyDescent="0.25">
      <c r="A132" s="32" t="s">
        <v>4</v>
      </c>
      <c r="B132" s="21">
        <v>84551.52</v>
      </c>
      <c r="C132" s="21">
        <v>27980.559999999998</v>
      </c>
      <c r="D132" s="21">
        <v>42565.5</v>
      </c>
      <c r="E132" s="21">
        <v>44607.5</v>
      </c>
      <c r="F132" s="21">
        <v>36804</v>
      </c>
      <c r="G132" s="21">
        <v>3549</v>
      </c>
      <c r="H132" s="21">
        <v>23944</v>
      </c>
      <c r="I132" s="21">
        <v>22054.5</v>
      </c>
      <c r="J132" s="21">
        <v>44645.5</v>
      </c>
      <c r="K132" s="21">
        <v>20139.5</v>
      </c>
      <c r="L132" s="21">
        <v>33588.5</v>
      </c>
      <c r="M132" s="37">
        <v>-1010.5</v>
      </c>
      <c r="N132" s="25"/>
      <c r="O132" s="21">
        <f t="shared" ref="O132:O134" si="9">SUM(B132:M132)</f>
        <v>383419.58</v>
      </c>
      <c r="P132" s="21">
        <f t="shared" si="4"/>
        <v>1235546.8500000001</v>
      </c>
      <c r="Q132" s="24">
        <v>852127.27</v>
      </c>
      <c r="R132" s="24"/>
      <c r="S132" s="24"/>
      <c r="T132" s="25"/>
      <c r="U132" s="25"/>
      <c r="V132" s="25"/>
      <c r="W132" s="25"/>
    </row>
    <row r="133" spans="1:23" ht="15.75" customHeight="1" x14ac:dyDescent="0.25">
      <c r="A133" s="20" t="s">
        <v>5</v>
      </c>
      <c r="B133" s="21">
        <v>11837.22</v>
      </c>
      <c r="C133" s="21">
        <v>3917.2799999999997</v>
      </c>
      <c r="D133" s="21">
        <v>5959.170000000001</v>
      </c>
      <c r="E133" s="21">
        <v>6245.0499999999993</v>
      </c>
      <c r="F133" s="21">
        <v>5152.5600000000004</v>
      </c>
      <c r="G133" s="21">
        <v>496.86</v>
      </c>
      <c r="H133" s="21">
        <v>3352.16</v>
      </c>
      <c r="I133" s="21">
        <v>3087.63</v>
      </c>
      <c r="J133" s="21">
        <v>6250.37</v>
      </c>
      <c r="K133" s="21">
        <v>2819.5299999999997</v>
      </c>
      <c r="L133" s="21">
        <v>4702.3899999999994</v>
      </c>
      <c r="M133" s="37">
        <v>-141.46999999999991</v>
      </c>
      <c r="N133" s="25"/>
      <c r="O133" s="21">
        <f t="shared" si="9"/>
        <v>53678.75</v>
      </c>
      <c r="P133" s="21">
        <f t="shared" si="4"/>
        <v>172976.64000000001</v>
      </c>
      <c r="Q133" s="24">
        <v>119297.89</v>
      </c>
      <c r="R133" s="24"/>
      <c r="S133" s="24"/>
      <c r="T133" s="25"/>
      <c r="U133" s="25"/>
      <c r="V133" s="25"/>
      <c r="W133" s="25"/>
    </row>
    <row r="134" spans="1:23" ht="15.75" customHeight="1" x14ac:dyDescent="0.25">
      <c r="A134" s="32" t="s">
        <v>6</v>
      </c>
      <c r="B134" s="21">
        <v>1691.0400000000002</v>
      </c>
      <c r="C134" s="21">
        <v>559.61</v>
      </c>
      <c r="D134" s="21">
        <v>851.31000000000006</v>
      </c>
      <c r="E134" s="21">
        <v>892.15</v>
      </c>
      <c r="F134" s="21">
        <v>736.07999999999993</v>
      </c>
      <c r="G134" s="21">
        <v>70.98</v>
      </c>
      <c r="H134" s="21">
        <v>478.88</v>
      </c>
      <c r="I134" s="21">
        <v>441.09000000000003</v>
      </c>
      <c r="J134" s="21">
        <v>892.91000000000008</v>
      </c>
      <c r="K134" s="21">
        <v>402.79</v>
      </c>
      <c r="L134" s="21">
        <v>671.77</v>
      </c>
      <c r="M134" s="37">
        <v>-20.209999999999994</v>
      </c>
      <c r="N134" s="25"/>
      <c r="O134" s="21">
        <f t="shared" si="9"/>
        <v>7668.4000000000005</v>
      </c>
      <c r="P134" s="21">
        <f t="shared" si="4"/>
        <v>24710.959999999999</v>
      </c>
      <c r="Q134" s="24">
        <v>17042.559999999998</v>
      </c>
      <c r="R134" s="24"/>
      <c r="S134" s="24"/>
      <c r="T134" s="25"/>
      <c r="U134" s="25"/>
      <c r="V134" s="25"/>
      <c r="W134" s="25"/>
    </row>
    <row r="135" spans="1:23" ht="15.75" customHeight="1" x14ac:dyDescent="0.25">
      <c r="B135" s="21"/>
      <c r="C135" s="21"/>
      <c r="D135" s="21"/>
      <c r="E135" s="21"/>
      <c r="F135" s="21"/>
      <c r="G135" s="21"/>
      <c r="H135" s="25"/>
      <c r="I135" s="21"/>
      <c r="J135" s="21"/>
      <c r="K135" s="22"/>
      <c r="L135" s="22"/>
      <c r="M135" s="21"/>
      <c r="N135" s="25"/>
      <c r="O135" s="21"/>
      <c r="P135" s="21"/>
      <c r="Q135" s="24"/>
      <c r="R135" s="24"/>
      <c r="S135" s="24"/>
      <c r="T135" s="25"/>
      <c r="U135" s="25"/>
      <c r="V135" s="25"/>
      <c r="W135" s="25"/>
    </row>
    <row r="136" spans="1:23" ht="15.75" customHeight="1" x14ac:dyDescent="0.25">
      <c r="A136" s="12" t="s">
        <v>16</v>
      </c>
      <c r="B136" s="15"/>
      <c r="C136" s="15"/>
      <c r="D136" s="15"/>
      <c r="E136" s="15"/>
      <c r="F136" s="15"/>
      <c r="G136" s="15"/>
      <c r="H136" s="25"/>
      <c r="I136" s="15"/>
      <c r="J136" s="15"/>
      <c r="K136" s="16"/>
      <c r="L136" s="15"/>
      <c r="M136" s="15"/>
      <c r="N136" s="25"/>
      <c r="O136" s="15"/>
      <c r="P136" s="21"/>
      <c r="Q136" s="24"/>
      <c r="R136" s="24"/>
      <c r="S136" s="24"/>
      <c r="T136" s="25"/>
      <c r="U136" s="25"/>
      <c r="V136" s="25"/>
      <c r="W136" s="25"/>
    </row>
    <row r="137" spans="1:23" ht="15.75" customHeight="1" x14ac:dyDescent="0.25">
      <c r="A137" s="14" t="s">
        <v>3</v>
      </c>
      <c r="B137" s="15">
        <v>83</v>
      </c>
      <c r="C137" s="40">
        <v>83</v>
      </c>
      <c r="D137" s="15">
        <v>83</v>
      </c>
      <c r="E137" s="15">
        <v>83</v>
      </c>
      <c r="F137" s="15">
        <v>83</v>
      </c>
      <c r="G137" s="15">
        <v>83</v>
      </c>
      <c r="H137" s="15">
        <v>83.75</v>
      </c>
      <c r="I137" s="15">
        <v>84</v>
      </c>
      <c r="J137" s="15">
        <v>84</v>
      </c>
      <c r="K137" s="16">
        <v>84</v>
      </c>
      <c r="L137" s="15">
        <v>84</v>
      </c>
      <c r="M137" s="15">
        <v>84</v>
      </c>
      <c r="N137" s="25"/>
      <c r="O137" s="15"/>
      <c r="P137" s="21"/>
      <c r="Q137" s="24"/>
      <c r="R137" s="24"/>
      <c r="S137" s="24"/>
      <c r="T137" s="25"/>
      <c r="U137" s="25"/>
      <c r="V137" s="25"/>
      <c r="W137" s="25"/>
    </row>
    <row r="138" spans="1:23" ht="15.75" customHeight="1" x14ac:dyDescent="0.25">
      <c r="A138" s="20" t="s">
        <v>4</v>
      </c>
      <c r="B138" s="21">
        <v>3414901.12</v>
      </c>
      <c r="C138" s="21">
        <v>3867201.7099999995</v>
      </c>
      <c r="D138" s="21">
        <v>3707970.94</v>
      </c>
      <c r="E138" s="21">
        <v>3482391.5700000003</v>
      </c>
      <c r="F138" s="21">
        <v>3579237.21</v>
      </c>
      <c r="G138" s="21">
        <v>470314.42</v>
      </c>
      <c r="H138" s="21">
        <v>3025349.9000000004</v>
      </c>
      <c r="I138" s="21">
        <v>3059812.2499999995</v>
      </c>
      <c r="J138" s="21">
        <v>3566448.1799999997</v>
      </c>
      <c r="K138" s="22">
        <v>3385695.9200000004</v>
      </c>
      <c r="L138" s="21">
        <v>3786482.71</v>
      </c>
      <c r="M138" s="21">
        <v>3122119.26</v>
      </c>
      <c r="N138" s="25"/>
      <c r="O138" s="21">
        <f>SUM(B138:M138)</f>
        <v>38467925.190000005</v>
      </c>
      <c r="P138" s="21">
        <f t="shared" ref="P138:P200" si="10">O138+Q138</f>
        <v>449080611.62</v>
      </c>
      <c r="Q138" s="24">
        <v>410612686.43000001</v>
      </c>
      <c r="R138" s="24"/>
      <c r="S138" s="24"/>
      <c r="T138" s="25"/>
      <c r="U138" s="25"/>
      <c r="V138" s="25"/>
      <c r="W138" s="25"/>
    </row>
    <row r="139" spans="1:23" ht="15.75" customHeight="1" x14ac:dyDescent="0.25">
      <c r="A139" s="20" t="s">
        <v>5</v>
      </c>
      <c r="B139" s="21">
        <v>478086.16000000003</v>
      </c>
      <c r="C139" s="21">
        <v>541408.24</v>
      </c>
      <c r="D139" s="21">
        <v>519115.93</v>
      </c>
      <c r="E139" s="21">
        <v>487534.80999999994</v>
      </c>
      <c r="F139" s="21">
        <v>501093.22000000003</v>
      </c>
      <c r="G139" s="21">
        <v>65844.01999999999</v>
      </c>
      <c r="H139" s="21">
        <v>423548.99000000005</v>
      </c>
      <c r="I139" s="21">
        <v>428373.72000000003</v>
      </c>
      <c r="J139" s="21">
        <v>499302.75</v>
      </c>
      <c r="K139" s="22">
        <v>473997.42</v>
      </c>
      <c r="L139" s="21">
        <v>530107.57000000007</v>
      </c>
      <c r="M139" s="21">
        <v>437096.70999999996</v>
      </c>
      <c r="N139" s="25"/>
      <c r="O139" s="21">
        <f>SUM(B139:M139)</f>
        <v>5385509.540000001</v>
      </c>
      <c r="P139" s="21">
        <f t="shared" si="10"/>
        <v>60242134.759999998</v>
      </c>
      <c r="Q139" s="24">
        <v>54856625.219999999</v>
      </c>
      <c r="R139" s="24"/>
      <c r="S139" s="24"/>
      <c r="T139" s="25"/>
      <c r="U139" s="25"/>
      <c r="V139" s="25"/>
      <c r="W139" s="25"/>
    </row>
    <row r="140" spans="1:23" ht="15.75" customHeight="1" x14ac:dyDescent="0.25">
      <c r="A140" s="20" t="s">
        <v>6</v>
      </c>
      <c r="B140" s="21">
        <v>68298.03</v>
      </c>
      <c r="C140" s="21">
        <v>77344.040000000008</v>
      </c>
      <c r="D140" s="21">
        <v>74159.41</v>
      </c>
      <c r="E140" s="21">
        <v>69647.829999999987</v>
      </c>
      <c r="F140" s="21">
        <v>71584.75</v>
      </c>
      <c r="G140" s="21">
        <v>9406.2899999999991</v>
      </c>
      <c r="H140" s="21">
        <v>60507.000000000007</v>
      </c>
      <c r="I140" s="21">
        <v>61196.249999999993</v>
      </c>
      <c r="J140" s="21">
        <v>71328.960000000006</v>
      </c>
      <c r="K140" s="22">
        <v>67713.930000000008</v>
      </c>
      <c r="L140" s="21">
        <v>75729.63</v>
      </c>
      <c r="M140" s="21">
        <v>62442.380000000005</v>
      </c>
      <c r="N140" s="25"/>
      <c r="O140" s="21">
        <f>SUM(B140:M140)</f>
        <v>769358.5</v>
      </c>
      <c r="P140" s="21">
        <f t="shared" si="10"/>
        <v>8981612.9700000007</v>
      </c>
      <c r="Q140" s="24">
        <v>8212254.4700000007</v>
      </c>
      <c r="R140" s="24"/>
      <c r="S140" s="24"/>
      <c r="T140" s="25"/>
      <c r="U140" s="25"/>
      <c r="V140" s="25"/>
      <c r="W140" s="25"/>
    </row>
    <row r="141" spans="1:23" ht="15.75" customHeight="1" x14ac:dyDescent="0.25">
      <c r="A141" s="14" t="s">
        <v>7</v>
      </c>
      <c r="B141" s="15">
        <v>12</v>
      </c>
      <c r="C141" s="15">
        <v>12</v>
      </c>
      <c r="D141" s="15">
        <v>12</v>
      </c>
      <c r="E141" s="15">
        <v>12</v>
      </c>
      <c r="F141" s="15">
        <v>12</v>
      </c>
      <c r="G141" s="15">
        <v>12</v>
      </c>
      <c r="H141" s="15">
        <v>12</v>
      </c>
      <c r="I141" s="15">
        <v>12</v>
      </c>
      <c r="J141" s="15">
        <v>12</v>
      </c>
      <c r="K141" s="16">
        <v>12</v>
      </c>
      <c r="L141" s="15">
        <v>12</v>
      </c>
      <c r="M141" s="15">
        <v>12</v>
      </c>
      <c r="N141" s="25"/>
      <c r="O141" s="15"/>
      <c r="P141" s="21"/>
      <c r="Q141" s="24"/>
      <c r="R141" s="24"/>
      <c r="S141" s="24"/>
      <c r="T141" s="25"/>
      <c r="U141" s="25"/>
      <c r="V141" s="25"/>
      <c r="W141" s="25"/>
    </row>
    <row r="142" spans="1:23" ht="15.75" customHeight="1" x14ac:dyDescent="0.25">
      <c r="A142" s="20" t="s">
        <v>4</v>
      </c>
      <c r="B142" s="21">
        <v>0</v>
      </c>
      <c r="C142" s="21">
        <v>0</v>
      </c>
      <c r="D142" s="21">
        <v>0</v>
      </c>
      <c r="E142" s="21">
        <v>143114</v>
      </c>
      <c r="F142" s="21">
        <v>299099</v>
      </c>
      <c r="G142" s="21">
        <v>99387</v>
      </c>
      <c r="H142" s="21">
        <v>208983.25</v>
      </c>
      <c r="I142" s="21">
        <v>177836</v>
      </c>
      <c r="J142" s="21">
        <v>233132</v>
      </c>
      <c r="K142" s="22">
        <v>241294</v>
      </c>
      <c r="L142" s="21">
        <v>282912</v>
      </c>
      <c r="M142" s="21">
        <v>203925</v>
      </c>
      <c r="N142" s="25"/>
      <c r="O142" s="21">
        <f>SUM(B142:M142)</f>
        <v>1889682.25</v>
      </c>
      <c r="P142" s="21">
        <f t="shared" si="10"/>
        <v>18699579.91</v>
      </c>
      <c r="Q142" s="24">
        <v>16809897.66</v>
      </c>
      <c r="R142" s="24"/>
      <c r="S142" s="24"/>
      <c r="T142" s="25"/>
      <c r="U142" s="25"/>
      <c r="V142" s="25"/>
      <c r="W142" s="25"/>
    </row>
    <row r="143" spans="1:23" ht="15.75" customHeight="1" x14ac:dyDescent="0.25">
      <c r="A143" s="20" t="s">
        <v>5</v>
      </c>
      <c r="B143" s="21">
        <v>0</v>
      </c>
      <c r="C143" s="21">
        <v>0</v>
      </c>
      <c r="D143" s="21">
        <v>0</v>
      </c>
      <c r="E143" s="21">
        <v>20035.96</v>
      </c>
      <c r="F143" s="21">
        <v>41873.86</v>
      </c>
      <c r="G143" s="21">
        <v>13914.18</v>
      </c>
      <c r="H143" s="21">
        <v>29257.660000000003</v>
      </c>
      <c r="I143" s="21">
        <v>24897.040000000001</v>
      </c>
      <c r="J143" s="21">
        <v>32638.480000000003</v>
      </c>
      <c r="K143" s="22">
        <v>33781.160000000003</v>
      </c>
      <c r="L143" s="21">
        <v>39607.68</v>
      </c>
      <c r="M143" s="21">
        <v>28549.5</v>
      </c>
      <c r="N143" s="25"/>
      <c r="O143" s="21">
        <f>SUM(B143:M143)</f>
        <v>264555.52000000002</v>
      </c>
      <c r="P143" s="21">
        <f t="shared" si="10"/>
        <v>2487764.2000000002</v>
      </c>
      <c r="Q143" s="24">
        <v>2223208.6800000002</v>
      </c>
      <c r="R143" s="24"/>
      <c r="S143" s="24"/>
      <c r="T143" s="25"/>
      <c r="U143" s="25"/>
      <c r="V143" s="25"/>
      <c r="W143" s="25"/>
    </row>
    <row r="144" spans="1:23" ht="15.75" customHeight="1" x14ac:dyDescent="0.25">
      <c r="A144" s="20" t="s">
        <v>6</v>
      </c>
      <c r="B144" s="21">
        <v>0</v>
      </c>
      <c r="C144" s="21">
        <v>0</v>
      </c>
      <c r="D144" s="21">
        <v>0</v>
      </c>
      <c r="E144" s="21">
        <v>2862.2799999999997</v>
      </c>
      <c r="F144" s="21">
        <v>5981.9800000000014</v>
      </c>
      <c r="G144" s="21">
        <v>1987.74</v>
      </c>
      <c r="H144" s="21">
        <v>4179.6699999999992</v>
      </c>
      <c r="I144" s="21">
        <v>3556.7200000000003</v>
      </c>
      <c r="J144" s="21">
        <v>4662.6400000000003</v>
      </c>
      <c r="K144" s="22">
        <v>4825.880000000001</v>
      </c>
      <c r="L144" s="21">
        <v>5658.24</v>
      </c>
      <c r="M144" s="21">
        <v>4078.5</v>
      </c>
      <c r="N144" s="25"/>
      <c r="O144" s="21">
        <f>SUM(B144:M144)</f>
        <v>37793.65</v>
      </c>
      <c r="P144" s="21">
        <f t="shared" si="10"/>
        <v>373991.61000000004</v>
      </c>
      <c r="Q144" s="24">
        <v>336197.96</v>
      </c>
      <c r="R144" s="24"/>
      <c r="S144" s="24"/>
      <c r="T144" s="25"/>
      <c r="U144" s="25"/>
      <c r="V144" s="25"/>
      <c r="W144" s="25"/>
    </row>
    <row r="145" spans="1:23" ht="15.75" customHeight="1" x14ac:dyDescent="0.25">
      <c r="A145" s="14" t="s">
        <v>8</v>
      </c>
      <c r="B145" s="15">
        <v>69</v>
      </c>
      <c r="C145" s="15">
        <v>69</v>
      </c>
      <c r="D145" s="15">
        <v>69</v>
      </c>
      <c r="E145" s="15">
        <v>69</v>
      </c>
      <c r="F145" s="15">
        <v>69</v>
      </c>
      <c r="G145" s="15">
        <v>69</v>
      </c>
      <c r="H145" s="15">
        <v>69</v>
      </c>
      <c r="I145" s="15">
        <v>69</v>
      </c>
      <c r="J145" s="15">
        <v>69</v>
      </c>
      <c r="K145" s="16">
        <v>69</v>
      </c>
      <c r="L145" s="15">
        <v>69</v>
      </c>
      <c r="M145" s="15">
        <v>69</v>
      </c>
      <c r="N145" s="25"/>
      <c r="O145" s="15"/>
      <c r="P145" s="21"/>
      <c r="Q145" s="24"/>
      <c r="R145" s="24"/>
      <c r="S145" s="24"/>
      <c r="T145" s="25"/>
      <c r="U145" s="25"/>
      <c r="V145" s="25"/>
      <c r="W145" s="25"/>
    </row>
    <row r="146" spans="1:23" ht="15.75" customHeight="1" x14ac:dyDescent="0.25">
      <c r="A146" s="20" t="s">
        <v>4</v>
      </c>
      <c r="B146" s="21">
        <v>3209702.1900000004</v>
      </c>
      <c r="C146" s="21">
        <v>3674744.35</v>
      </c>
      <c r="D146" s="21">
        <v>3471147.46</v>
      </c>
      <c r="E146" s="21">
        <v>3203054.08</v>
      </c>
      <c r="F146" s="21">
        <v>3152342</v>
      </c>
      <c r="G146" s="21">
        <v>303481.90000000002</v>
      </c>
      <c r="H146" s="21">
        <v>2704389.37</v>
      </c>
      <c r="I146" s="21">
        <v>2771019.79</v>
      </c>
      <c r="J146" s="21">
        <v>3188896.36</v>
      </c>
      <c r="K146" s="22">
        <v>2968549.89</v>
      </c>
      <c r="L146" s="21">
        <v>3238682.72</v>
      </c>
      <c r="M146" s="21">
        <v>2768808.07</v>
      </c>
      <c r="N146" s="25"/>
      <c r="O146" s="21">
        <f t="shared" ref="O146:O156" si="11">SUM(B146:M146)</f>
        <v>34654818.18</v>
      </c>
      <c r="P146" s="21">
        <f t="shared" si="10"/>
        <v>422937676.28000003</v>
      </c>
      <c r="Q146" s="24">
        <v>388282858.10000002</v>
      </c>
      <c r="R146" s="24"/>
      <c r="S146" s="24"/>
      <c r="T146" s="25"/>
      <c r="U146" s="25"/>
      <c r="V146" s="25"/>
      <c r="W146" s="25"/>
    </row>
    <row r="147" spans="1:23" ht="15.75" customHeight="1" x14ac:dyDescent="0.25">
      <c r="A147" s="20" t="s">
        <v>5</v>
      </c>
      <c r="B147" s="21">
        <v>449358.31</v>
      </c>
      <c r="C147" s="21">
        <v>514464.20999999996</v>
      </c>
      <c r="D147" s="21">
        <v>485960.64</v>
      </c>
      <c r="E147" s="21">
        <v>448427.57</v>
      </c>
      <c r="F147" s="21">
        <v>441327.89</v>
      </c>
      <c r="G147" s="21">
        <v>42487.47</v>
      </c>
      <c r="H147" s="21">
        <v>378614.51</v>
      </c>
      <c r="I147" s="21">
        <v>387942.77</v>
      </c>
      <c r="J147" s="21">
        <v>446445.49</v>
      </c>
      <c r="K147" s="22">
        <v>415596.99</v>
      </c>
      <c r="L147" s="21">
        <v>453415.57999999996</v>
      </c>
      <c r="M147" s="21">
        <v>387633.14000000007</v>
      </c>
      <c r="N147" s="25"/>
      <c r="O147" s="21">
        <f t="shared" si="11"/>
        <v>4851674.57</v>
      </c>
      <c r="P147" s="21">
        <f t="shared" si="10"/>
        <v>55924323.110000007</v>
      </c>
      <c r="Q147" s="24">
        <v>51072648.540000007</v>
      </c>
      <c r="R147" s="24"/>
      <c r="S147" s="24"/>
      <c r="T147" s="25"/>
      <c r="U147" s="25"/>
      <c r="V147" s="25"/>
      <c r="W147" s="25"/>
    </row>
    <row r="148" spans="1:23" ht="15.75" customHeight="1" x14ac:dyDescent="0.25">
      <c r="A148" s="20" t="s">
        <v>6</v>
      </c>
      <c r="B148" s="21">
        <v>64194.05</v>
      </c>
      <c r="C148" s="21">
        <v>73494.890000000014</v>
      </c>
      <c r="D148" s="21">
        <v>69422.95</v>
      </c>
      <c r="E148" s="21">
        <v>64061.08</v>
      </c>
      <c r="F148" s="21">
        <v>63046.850000000006</v>
      </c>
      <c r="G148" s="21">
        <v>6069.6399999999994</v>
      </c>
      <c r="H148" s="21">
        <v>54087.79</v>
      </c>
      <c r="I148" s="21">
        <v>55420.4</v>
      </c>
      <c r="J148" s="21">
        <v>63777.930000000008</v>
      </c>
      <c r="K148" s="22">
        <v>59371.000000000007</v>
      </c>
      <c r="L148" s="21">
        <v>64773.640000000007</v>
      </c>
      <c r="M148" s="21">
        <v>55376.159999999996</v>
      </c>
      <c r="N148" s="25"/>
      <c r="O148" s="21">
        <f t="shared" si="11"/>
        <v>693096.38000000012</v>
      </c>
      <c r="P148" s="21">
        <f t="shared" si="10"/>
        <v>8458754.3200000003</v>
      </c>
      <c r="Q148" s="24">
        <v>7765657.9400000004</v>
      </c>
      <c r="R148" s="24"/>
      <c r="S148" s="24"/>
      <c r="T148" s="25"/>
      <c r="U148" s="25"/>
      <c r="V148" s="25"/>
      <c r="W148" s="25"/>
    </row>
    <row r="149" spans="1:23" ht="15.75" customHeight="1" x14ac:dyDescent="0.25">
      <c r="A149" s="14" t="s">
        <v>9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6">
        <v>0</v>
      </c>
      <c r="L149" s="16">
        <v>0</v>
      </c>
      <c r="M149" s="15">
        <v>0</v>
      </c>
      <c r="N149" s="25"/>
      <c r="O149" s="15"/>
      <c r="P149" s="21"/>
      <c r="Q149" s="24"/>
      <c r="R149" s="24"/>
      <c r="S149" s="24"/>
      <c r="T149" s="25"/>
      <c r="U149" s="25"/>
      <c r="V149" s="25"/>
      <c r="W149" s="25"/>
    </row>
    <row r="150" spans="1:23" ht="15.75" customHeight="1" x14ac:dyDescent="0.25">
      <c r="A150" s="20" t="s">
        <v>4</v>
      </c>
      <c r="B150" s="21">
        <v>0</v>
      </c>
      <c r="C150" s="21">
        <v>0</v>
      </c>
      <c r="D150" s="21">
        <v>0</v>
      </c>
      <c r="E150" s="21">
        <v>0</v>
      </c>
      <c r="F150" s="21">
        <v>0</v>
      </c>
      <c r="G150" s="21">
        <v>0</v>
      </c>
      <c r="H150" s="21">
        <v>0</v>
      </c>
      <c r="I150" s="21">
        <v>0</v>
      </c>
      <c r="J150" s="21">
        <v>0</v>
      </c>
      <c r="K150" s="22">
        <v>0</v>
      </c>
      <c r="L150" s="22">
        <v>0</v>
      </c>
      <c r="M150" s="21">
        <v>0</v>
      </c>
      <c r="N150" s="25"/>
      <c r="O150" s="21">
        <f t="shared" si="11"/>
        <v>0</v>
      </c>
      <c r="P150" s="21">
        <f t="shared" si="10"/>
        <v>0</v>
      </c>
      <c r="Q150" s="24">
        <v>0</v>
      </c>
      <c r="R150" s="24"/>
      <c r="S150" s="24"/>
      <c r="T150" s="25"/>
      <c r="U150" s="25"/>
      <c r="V150" s="25"/>
      <c r="W150" s="25"/>
    </row>
    <row r="151" spans="1:23" ht="15.75" customHeight="1" x14ac:dyDescent="0.25">
      <c r="A151" s="20" t="s">
        <v>5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1">
        <v>0</v>
      </c>
      <c r="J151" s="21">
        <v>0</v>
      </c>
      <c r="K151" s="22">
        <v>0</v>
      </c>
      <c r="L151" s="22">
        <v>0</v>
      </c>
      <c r="M151" s="21">
        <v>0</v>
      </c>
      <c r="N151" s="25"/>
      <c r="O151" s="21">
        <f t="shared" si="11"/>
        <v>0</v>
      </c>
      <c r="P151" s="21">
        <f t="shared" si="10"/>
        <v>0</v>
      </c>
      <c r="Q151" s="24">
        <v>0</v>
      </c>
      <c r="R151" s="24"/>
      <c r="S151" s="24"/>
      <c r="T151" s="25"/>
      <c r="U151" s="25"/>
      <c r="V151" s="25"/>
      <c r="W151" s="25"/>
    </row>
    <row r="152" spans="1:23" ht="15.75" customHeight="1" x14ac:dyDescent="0.25">
      <c r="A152" s="20" t="s">
        <v>6</v>
      </c>
      <c r="B152" s="21">
        <v>0</v>
      </c>
      <c r="C152" s="21">
        <v>0</v>
      </c>
      <c r="D152" s="21">
        <v>0</v>
      </c>
      <c r="E152" s="21">
        <v>0</v>
      </c>
      <c r="F152" s="21">
        <v>0</v>
      </c>
      <c r="G152" s="21">
        <v>0</v>
      </c>
      <c r="H152" s="21">
        <v>0</v>
      </c>
      <c r="I152" s="21">
        <v>0</v>
      </c>
      <c r="J152" s="21">
        <v>0</v>
      </c>
      <c r="K152" s="22">
        <v>0</v>
      </c>
      <c r="L152" s="22">
        <v>0</v>
      </c>
      <c r="M152" s="21">
        <v>0</v>
      </c>
      <c r="N152" s="25"/>
      <c r="O152" s="21">
        <f t="shared" si="11"/>
        <v>0</v>
      </c>
      <c r="P152" s="21">
        <f t="shared" si="10"/>
        <v>0</v>
      </c>
      <c r="Q152" s="24">
        <v>0</v>
      </c>
      <c r="R152" s="24"/>
      <c r="S152" s="24"/>
      <c r="T152" s="25"/>
      <c r="U152" s="25"/>
      <c r="V152" s="25"/>
      <c r="W152" s="25"/>
    </row>
    <row r="153" spans="1:23" ht="15.75" customHeight="1" x14ac:dyDescent="0.25">
      <c r="A153" s="14" t="s">
        <v>10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6">
        <v>0</v>
      </c>
      <c r="L153" s="16">
        <v>0</v>
      </c>
      <c r="M153" s="15">
        <v>0</v>
      </c>
      <c r="N153" s="25"/>
      <c r="O153" s="15"/>
      <c r="P153" s="21"/>
      <c r="Q153" s="24"/>
      <c r="R153" s="24"/>
      <c r="S153" s="24"/>
      <c r="T153" s="25"/>
      <c r="U153" s="25"/>
      <c r="V153" s="25"/>
      <c r="W153" s="25"/>
    </row>
    <row r="154" spans="1:23" ht="15.75" customHeight="1" x14ac:dyDescent="0.25">
      <c r="A154" s="20" t="s">
        <v>4</v>
      </c>
      <c r="B154" s="21">
        <v>0</v>
      </c>
      <c r="C154" s="21">
        <v>0</v>
      </c>
      <c r="D154" s="21">
        <v>0</v>
      </c>
      <c r="E154" s="21">
        <v>0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2">
        <v>0</v>
      </c>
      <c r="L154" s="22">
        <v>0</v>
      </c>
      <c r="M154" s="21">
        <v>0</v>
      </c>
      <c r="N154" s="25"/>
      <c r="O154" s="21">
        <f t="shared" si="11"/>
        <v>0</v>
      </c>
      <c r="P154" s="21">
        <f t="shared" si="10"/>
        <v>2455401.5</v>
      </c>
      <c r="Q154" s="24">
        <v>2455401.5</v>
      </c>
      <c r="R154" s="24"/>
      <c r="S154" s="24"/>
      <c r="T154" s="25"/>
      <c r="U154" s="25"/>
      <c r="V154" s="25"/>
      <c r="W154" s="25"/>
    </row>
    <row r="155" spans="1:23" ht="15.75" customHeight="1" x14ac:dyDescent="0.25">
      <c r="A155" s="20" t="s">
        <v>5</v>
      </c>
      <c r="B155" s="21">
        <v>0</v>
      </c>
      <c r="C155" s="21">
        <v>0</v>
      </c>
      <c r="D155" s="21">
        <v>0</v>
      </c>
      <c r="E155" s="21">
        <v>0</v>
      </c>
      <c r="F155" s="21">
        <v>0</v>
      </c>
      <c r="G155" s="21">
        <v>0</v>
      </c>
      <c r="H155" s="21">
        <v>0</v>
      </c>
      <c r="I155" s="21">
        <v>0</v>
      </c>
      <c r="J155" s="21">
        <v>0</v>
      </c>
      <c r="K155" s="22">
        <v>0</v>
      </c>
      <c r="L155" s="22">
        <v>0</v>
      </c>
      <c r="M155" s="21">
        <v>0</v>
      </c>
      <c r="N155" s="25"/>
      <c r="O155" s="21">
        <f t="shared" si="11"/>
        <v>0</v>
      </c>
      <c r="P155" s="21">
        <f t="shared" si="10"/>
        <v>1131733.9000000001</v>
      </c>
      <c r="Q155" s="24">
        <v>1131733.9000000001</v>
      </c>
      <c r="R155" s="24"/>
      <c r="S155" s="24"/>
      <c r="T155" s="25"/>
      <c r="U155" s="25"/>
      <c r="V155" s="25"/>
      <c r="W155" s="25"/>
    </row>
    <row r="156" spans="1:23" ht="15.75" customHeight="1" x14ac:dyDescent="0.25">
      <c r="A156" s="20" t="s">
        <v>6</v>
      </c>
      <c r="B156" s="21">
        <v>0</v>
      </c>
      <c r="C156" s="21">
        <v>0</v>
      </c>
      <c r="D156" s="21">
        <v>0</v>
      </c>
      <c r="E156" s="21">
        <v>0</v>
      </c>
      <c r="F156" s="21">
        <v>0</v>
      </c>
      <c r="G156" s="21">
        <v>0</v>
      </c>
      <c r="H156" s="21">
        <v>0</v>
      </c>
      <c r="I156" s="21">
        <v>0</v>
      </c>
      <c r="J156" s="21">
        <v>0</v>
      </c>
      <c r="K156" s="22">
        <v>0</v>
      </c>
      <c r="L156" s="22">
        <v>0</v>
      </c>
      <c r="M156" s="21">
        <v>0</v>
      </c>
      <c r="N156" s="25"/>
      <c r="O156" s="21">
        <f t="shared" si="11"/>
        <v>0</v>
      </c>
      <c r="P156" s="21">
        <f t="shared" si="10"/>
        <v>49108.03</v>
      </c>
      <c r="Q156" s="24">
        <v>49108.03</v>
      </c>
      <c r="R156" s="24"/>
      <c r="S156" s="24"/>
      <c r="T156" s="25"/>
      <c r="U156" s="25"/>
      <c r="V156" s="25"/>
      <c r="W156" s="25"/>
    </row>
    <row r="157" spans="1:23" ht="15.75" customHeight="1" x14ac:dyDescent="0.25">
      <c r="A157" s="31" t="s">
        <v>11</v>
      </c>
      <c r="B157" s="15">
        <v>2</v>
      </c>
      <c r="C157" s="15">
        <v>2</v>
      </c>
      <c r="D157" s="15">
        <v>2</v>
      </c>
      <c r="E157" s="15">
        <v>2</v>
      </c>
      <c r="F157" s="15">
        <v>2</v>
      </c>
      <c r="G157" s="15">
        <v>2</v>
      </c>
      <c r="H157" s="15">
        <v>2.75</v>
      </c>
      <c r="I157" s="15">
        <v>3</v>
      </c>
      <c r="J157" s="15">
        <v>3</v>
      </c>
      <c r="K157" s="16">
        <v>3</v>
      </c>
      <c r="L157" s="16">
        <v>3</v>
      </c>
      <c r="M157" s="16">
        <v>3</v>
      </c>
      <c r="N157" s="25"/>
      <c r="O157" s="21"/>
      <c r="P157" s="21"/>
      <c r="Q157" s="24"/>
      <c r="R157" s="24"/>
      <c r="S157" s="24"/>
      <c r="T157" s="25"/>
      <c r="U157" s="25"/>
      <c r="V157" s="25"/>
      <c r="W157" s="25"/>
    </row>
    <row r="158" spans="1:23" ht="15.75" customHeight="1" x14ac:dyDescent="0.25">
      <c r="A158" s="32" t="s">
        <v>4</v>
      </c>
      <c r="B158" s="21">
        <v>205198.93000000002</v>
      </c>
      <c r="C158" s="21">
        <v>192457.36</v>
      </c>
      <c r="D158" s="21">
        <v>236823.48000000004</v>
      </c>
      <c r="E158" s="21">
        <v>136223.49</v>
      </c>
      <c r="F158" s="21">
        <v>127796.20999999999</v>
      </c>
      <c r="G158" s="37">
        <v>67445.51999999999</v>
      </c>
      <c r="H158" s="37">
        <v>111977.28</v>
      </c>
      <c r="I158" s="21">
        <v>110956.45999999999</v>
      </c>
      <c r="J158" s="21">
        <v>144419.82</v>
      </c>
      <c r="K158" s="22">
        <v>175852.03</v>
      </c>
      <c r="L158" s="21">
        <v>264887.99</v>
      </c>
      <c r="M158" s="21">
        <v>149386.19</v>
      </c>
      <c r="N158" s="25"/>
      <c r="O158" s="21">
        <f>SUM(B158:M158)</f>
        <v>1923424.76</v>
      </c>
      <c r="P158" s="21">
        <f t="shared" si="10"/>
        <v>4987953.93</v>
      </c>
      <c r="Q158" s="24">
        <v>3064529.17</v>
      </c>
      <c r="R158" s="24"/>
      <c r="S158" s="24"/>
      <c r="T158" s="25"/>
      <c r="U158" s="25"/>
      <c r="V158" s="25"/>
      <c r="W158" s="25"/>
    </row>
    <row r="159" spans="1:23" ht="15.75" customHeight="1" x14ac:dyDescent="0.25">
      <c r="A159" s="20" t="s">
        <v>5</v>
      </c>
      <c r="B159" s="21">
        <v>28727.850000000002</v>
      </c>
      <c r="C159" s="21">
        <v>26944.03</v>
      </c>
      <c r="D159" s="21">
        <v>33155.29</v>
      </c>
      <c r="E159" s="21">
        <v>19071.28</v>
      </c>
      <c r="F159" s="21">
        <v>17891.47</v>
      </c>
      <c r="G159" s="37">
        <v>9442.369999999999</v>
      </c>
      <c r="H159" s="37">
        <v>15676.82</v>
      </c>
      <c r="I159" s="21">
        <v>15533.91</v>
      </c>
      <c r="J159" s="21">
        <v>20218.78</v>
      </c>
      <c r="K159" s="22">
        <v>24619.269999999997</v>
      </c>
      <c r="L159" s="21">
        <v>37084.31</v>
      </c>
      <c r="M159" s="21">
        <v>20914.07</v>
      </c>
      <c r="N159" s="25"/>
      <c r="O159" s="21">
        <f>SUM(B159:M159)</f>
        <v>269279.45</v>
      </c>
      <c r="P159" s="21">
        <f t="shared" si="10"/>
        <v>698313.55</v>
      </c>
      <c r="Q159" s="24">
        <v>429034.10000000003</v>
      </c>
      <c r="R159" s="24"/>
      <c r="S159" s="24"/>
      <c r="T159" s="25"/>
      <c r="U159" s="25"/>
      <c r="V159" s="25"/>
      <c r="W159" s="25"/>
    </row>
    <row r="160" spans="1:23" ht="15.75" customHeight="1" x14ac:dyDescent="0.25">
      <c r="A160" s="32" t="s">
        <v>6</v>
      </c>
      <c r="B160" s="21">
        <v>4103.9800000000005</v>
      </c>
      <c r="C160" s="21">
        <v>3849.1499999999996</v>
      </c>
      <c r="D160" s="21">
        <v>4736.4600000000009</v>
      </c>
      <c r="E160" s="21">
        <v>2724.47</v>
      </c>
      <c r="F160" s="21">
        <v>2555.9200000000005</v>
      </c>
      <c r="G160" s="37">
        <v>1348.91</v>
      </c>
      <c r="H160" s="37">
        <v>2239.5400000000004</v>
      </c>
      <c r="I160" s="21">
        <v>2219.13</v>
      </c>
      <c r="J160" s="21">
        <v>2888.3899999999994</v>
      </c>
      <c r="K160" s="22">
        <v>3517.0499999999997</v>
      </c>
      <c r="L160" s="21">
        <v>5297.75</v>
      </c>
      <c r="M160" s="21">
        <v>2987.7200000000003</v>
      </c>
      <c r="N160" s="25"/>
      <c r="O160" s="21">
        <f>SUM(B160:M160)</f>
        <v>38468.47</v>
      </c>
      <c r="P160" s="21">
        <f t="shared" si="10"/>
        <v>99759.040000000008</v>
      </c>
      <c r="Q160" s="24">
        <v>61290.57</v>
      </c>
      <c r="R160" s="24"/>
      <c r="S160" s="24"/>
      <c r="T160" s="25"/>
      <c r="U160" s="25"/>
      <c r="V160" s="25"/>
      <c r="W160" s="25"/>
    </row>
    <row r="161" spans="1:23" ht="15.75" customHeight="1" x14ac:dyDescent="0.25">
      <c r="A161" s="20"/>
      <c r="B161" s="21"/>
      <c r="C161" s="15"/>
      <c r="D161" s="21"/>
      <c r="E161" s="21"/>
      <c r="F161" s="21"/>
      <c r="G161" s="21"/>
      <c r="H161" s="25"/>
      <c r="I161" s="21"/>
      <c r="J161" s="21"/>
      <c r="K161" s="22"/>
      <c r="L161" s="21"/>
      <c r="M161" s="21"/>
      <c r="N161" s="25"/>
      <c r="O161" s="21"/>
      <c r="P161" s="21"/>
      <c r="Q161" s="24"/>
      <c r="R161" s="24"/>
      <c r="S161" s="24"/>
      <c r="T161" s="25"/>
      <c r="U161" s="25"/>
      <c r="V161" s="25"/>
      <c r="W161" s="25"/>
    </row>
    <row r="162" spans="1:23" ht="15.75" customHeight="1" x14ac:dyDescent="0.25">
      <c r="A162" s="12" t="s">
        <v>17</v>
      </c>
      <c r="B162" s="21"/>
      <c r="C162" s="21"/>
      <c r="D162" s="21"/>
      <c r="E162" s="21"/>
      <c r="F162" s="21"/>
      <c r="G162" s="21"/>
      <c r="H162" s="25"/>
      <c r="I162" s="21"/>
      <c r="J162" s="21"/>
      <c r="K162" s="22"/>
      <c r="L162" s="21"/>
      <c r="M162" s="21"/>
      <c r="N162" s="25"/>
      <c r="O162" s="21"/>
      <c r="P162" s="21"/>
      <c r="Q162" s="24"/>
      <c r="R162" s="24"/>
      <c r="S162" s="24"/>
      <c r="T162" s="25"/>
      <c r="U162" s="25"/>
      <c r="V162" s="25"/>
      <c r="W162" s="25"/>
    </row>
    <row r="163" spans="1:23" ht="15.75" customHeight="1" x14ac:dyDescent="0.25">
      <c r="A163" s="14" t="s">
        <v>3</v>
      </c>
      <c r="B163" s="15">
        <v>77</v>
      </c>
      <c r="C163" s="40">
        <v>77</v>
      </c>
      <c r="D163" s="15">
        <v>77</v>
      </c>
      <c r="E163" s="15">
        <v>77</v>
      </c>
      <c r="F163" s="15">
        <v>77</v>
      </c>
      <c r="G163" s="15">
        <v>77</v>
      </c>
      <c r="H163" s="15">
        <v>77</v>
      </c>
      <c r="I163" s="15">
        <v>77</v>
      </c>
      <c r="J163" s="15">
        <v>77</v>
      </c>
      <c r="K163" s="16">
        <v>77</v>
      </c>
      <c r="L163" s="15">
        <v>77</v>
      </c>
      <c r="M163" s="15">
        <v>77</v>
      </c>
      <c r="N163" s="25"/>
      <c r="O163" s="15"/>
      <c r="P163" s="21"/>
      <c r="Q163" s="24"/>
      <c r="R163" s="24"/>
      <c r="S163" s="24"/>
      <c r="T163" s="25"/>
      <c r="U163" s="25"/>
      <c r="V163" s="25"/>
      <c r="W163" s="25"/>
    </row>
    <row r="164" spans="1:23" ht="15.75" customHeight="1" x14ac:dyDescent="0.25">
      <c r="A164" s="20" t="s">
        <v>4</v>
      </c>
      <c r="B164" s="21">
        <v>2845068.54</v>
      </c>
      <c r="C164" s="21">
        <v>3050046.52</v>
      </c>
      <c r="D164" s="21">
        <v>2565042.5</v>
      </c>
      <c r="E164" s="21">
        <v>2364403.91</v>
      </c>
      <c r="F164" s="21">
        <v>2348913.3100000005</v>
      </c>
      <c r="G164" s="21">
        <v>714538.81</v>
      </c>
      <c r="H164" s="21">
        <v>1966368</v>
      </c>
      <c r="I164" s="21">
        <v>2252439.34</v>
      </c>
      <c r="J164" s="21">
        <v>3124277.7900000005</v>
      </c>
      <c r="K164" s="22">
        <v>2931172.89</v>
      </c>
      <c r="L164" s="21">
        <v>3352637.2899999996</v>
      </c>
      <c r="M164" s="21">
        <v>2693788.7899999996</v>
      </c>
      <c r="N164" s="25"/>
      <c r="O164" s="21">
        <f>SUM(B164:M164)</f>
        <v>30208697.689999998</v>
      </c>
      <c r="P164" s="21">
        <f t="shared" si="10"/>
        <v>379434088.83999997</v>
      </c>
      <c r="Q164" s="24">
        <v>349225391.14999998</v>
      </c>
      <c r="R164" s="24"/>
      <c r="S164" s="24"/>
      <c r="T164" s="25"/>
      <c r="U164" s="25"/>
      <c r="V164" s="25"/>
      <c r="W164" s="25"/>
    </row>
    <row r="165" spans="1:23" ht="15.75" customHeight="1" x14ac:dyDescent="0.25">
      <c r="A165" s="20" t="s">
        <v>5</v>
      </c>
      <c r="B165" s="21">
        <v>398309.61</v>
      </c>
      <c r="C165" s="21">
        <v>427006.50999999995</v>
      </c>
      <c r="D165" s="21">
        <v>359105.96000000008</v>
      </c>
      <c r="E165" s="21">
        <v>331016.56</v>
      </c>
      <c r="F165" s="21">
        <v>328847.85000000003</v>
      </c>
      <c r="G165" s="21">
        <v>100035.44</v>
      </c>
      <c r="H165" s="21">
        <v>275291.52999999997</v>
      </c>
      <c r="I165" s="21">
        <v>315341.51999999996</v>
      </c>
      <c r="J165" s="21">
        <v>437398.91</v>
      </c>
      <c r="K165" s="22">
        <v>410364.22000000003</v>
      </c>
      <c r="L165" s="21">
        <v>469369.24</v>
      </c>
      <c r="M165" s="21">
        <v>377130.46</v>
      </c>
      <c r="N165" s="25"/>
      <c r="O165" s="21">
        <f>SUM(B165:M165)</f>
        <v>4229217.8100000005</v>
      </c>
      <c r="P165" s="21">
        <f t="shared" si="10"/>
        <v>50547192.350000001</v>
      </c>
      <c r="Q165" s="24">
        <v>46317974.539999999</v>
      </c>
      <c r="R165" s="24"/>
      <c r="S165" s="24"/>
      <c r="T165" s="25"/>
      <c r="U165" s="25"/>
      <c r="V165" s="25"/>
      <c r="W165" s="25"/>
    </row>
    <row r="166" spans="1:23" ht="15.75" customHeight="1" x14ac:dyDescent="0.25">
      <c r="A166" s="20" t="s">
        <v>6</v>
      </c>
      <c r="B166" s="21">
        <v>56901.37000000001</v>
      </c>
      <c r="C166" s="21">
        <v>61000.94</v>
      </c>
      <c r="D166" s="21">
        <v>51300.87</v>
      </c>
      <c r="E166" s="21">
        <v>47288.09</v>
      </c>
      <c r="F166" s="21">
        <v>46978.27</v>
      </c>
      <c r="G166" s="21">
        <v>14290.789999999999</v>
      </c>
      <c r="H166" s="21">
        <v>39327.369999999995</v>
      </c>
      <c r="I166" s="21">
        <v>45048.81</v>
      </c>
      <c r="J166" s="21">
        <v>62485.59</v>
      </c>
      <c r="K166" s="22">
        <v>58623.48</v>
      </c>
      <c r="L166" s="21">
        <v>67052.760000000009</v>
      </c>
      <c r="M166" s="21">
        <v>53875.79</v>
      </c>
      <c r="N166" s="25"/>
      <c r="O166" s="21">
        <f>SUM(B166:M166)</f>
        <v>604174.13</v>
      </c>
      <c r="P166" s="21">
        <f t="shared" si="10"/>
        <v>7588683.4300000006</v>
      </c>
      <c r="Q166" s="24">
        <v>6984509.3000000007</v>
      </c>
      <c r="R166" s="24"/>
      <c r="S166" s="24"/>
      <c r="T166" s="25"/>
      <c r="U166" s="25"/>
      <c r="V166" s="25"/>
      <c r="W166" s="25"/>
    </row>
    <row r="167" spans="1:23" ht="15.75" customHeight="1" x14ac:dyDescent="0.25">
      <c r="A167" s="14" t="s">
        <v>7</v>
      </c>
      <c r="B167" s="15">
        <v>17</v>
      </c>
      <c r="C167" s="15">
        <v>17</v>
      </c>
      <c r="D167" s="15">
        <v>17</v>
      </c>
      <c r="E167" s="15">
        <v>17</v>
      </c>
      <c r="F167" s="15">
        <v>17</v>
      </c>
      <c r="G167" s="15">
        <v>17</v>
      </c>
      <c r="H167" s="15">
        <v>17</v>
      </c>
      <c r="I167" s="15">
        <v>17</v>
      </c>
      <c r="J167" s="15">
        <v>17</v>
      </c>
      <c r="K167" s="16">
        <v>17</v>
      </c>
      <c r="L167" s="15">
        <v>17</v>
      </c>
      <c r="M167" s="15">
        <v>17</v>
      </c>
      <c r="N167" s="25"/>
      <c r="O167" s="15"/>
      <c r="P167" s="21"/>
      <c r="Q167" s="24"/>
      <c r="R167" s="24"/>
      <c r="S167" s="24"/>
      <c r="T167" s="25"/>
      <c r="U167" s="25"/>
      <c r="V167" s="25"/>
      <c r="W167" s="25"/>
    </row>
    <row r="168" spans="1:23" ht="15.75" customHeight="1" x14ac:dyDescent="0.25">
      <c r="A168" s="20" t="s">
        <v>4</v>
      </c>
      <c r="B168" s="21">
        <v>0</v>
      </c>
      <c r="C168" s="21">
        <v>90</v>
      </c>
      <c r="D168" s="21">
        <v>90</v>
      </c>
      <c r="E168" s="21">
        <v>0</v>
      </c>
      <c r="F168" s="21">
        <v>0</v>
      </c>
      <c r="G168" s="21">
        <v>0</v>
      </c>
      <c r="H168" s="21">
        <v>0</v>
      </c>
      <c r="I168" s="21">
        <v>0</v>
      </c>
      <c r="J168" s="21">
        <v>0</v>
      </c>
      <c r="K168" s="22">
        <v>0</v>
      </c>
      <c r="L168" s="21">
        <v>0</v>
      </c>
      <c r="M168" s="21">
        <v>0</v>
      </c>
      <c r="N168" s="25"/>
      <c r="O168" s="21">
        <f>SUM(B168:M168)</f>
        <v>180</v>
      </c>
      <c r="P168" s="21">
        <f t="shared" si="10"/>
        <v>39049937.149999999</v>
      </c>
      <c r="Q168" s="24">
        <v>39049757.149999999</v>
      </c>
      <c r="R168" s="24"/>
      <c r="S168" s="24"/>
      <c r="T168" s="25"/>
      <c r="U168" s="25"/>
      <c r="V168" s="25"/>
      <c r="W168" s="25"/>
    </row>
    <row r="169" spans="1:23" ht="15.75" customHeight="1" x14ac:dyDescent="0.25">
      <c r="A169" s="20" t="s">
        <v>5</v>
      </c>
      <c r="B169" s="21">
        <v>0</v>
      </c>
      <c r="C169" s="21">
        <v>12.6</v>
      </c>
      <c r="D169" s="21">
        <v>12.6</v>
      </c>
      <c r="E169" s="21">
        <v>0</v>
      </c>
      <c r="F169" s="21">
        <v>0</v>
      </c>
      <c r="G169" s="21">
        <v>0</v>
      </c>
      <c r="H169" s="21">
        <v>0</v>
      </c>
      <c r="I169" s="21">
        <v>0</v>
      </c>
      <c r="J169" s="21">
        <v>0</v>
      </c>
      <c r="K169" s="22">
        <v>0</v>
      </c>
      <c r="L169" s="21">
        <v>0</v>
      </c>
      <c r="M169" s="21">
        <v>0</v>
      </c>
      <c r="N169" s="25"/>
      <c r="O169" s="21">
        <f>SUM(B169:M169)</f>
        <v>25.2</v>
      </c>
      <c r="P169" s="21">
        <f t="shared" si="10"/>
        <v>5147657.2999999989</v>
      </c>
      <c r="Q169" s="24">
        <v>5147632.0999999987</v>
      </c>
      <c r="R169" s="24"/>
      <c r="S169" s="24"/>
      <c r="T169" s="25"/>
      <c r="U169" s="25"/>
      <c r="V169" s="25"/>
      <c r="W169" s="25"/>
    </row>
    <row r="170" spans="1:23" ht="15.75" customHeight="1" x14ac:dyDescent="0.25">
      <c r="A170" s="20" t="s">
        <v>6</v>
      </c>
      <c r="B170" s="21">
        <v>0</v>
      </c>
      <c r="C170" s="21">
        <v>1.8</v>
      </c>
      <c r="D170" s="21">
        <v>1.8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0</v>
      </c>
      <c r="K170" s="22">
        <v>0</v>
      </c>
      <c r="L170" s="21">
        <v>0</v>
      </c>
      <c r="M170" s="21">
        <v>0</v>
      </c>
      <c r="N170" s="25"/>
      <c r="O170" s="21">
        <f>SUM(B170:M170)</f>
        <v>3.6</v>
      </c>
      <c r="P170" s="21">
        <f t="shared" si="10"/>
        <v>780998.72999999986</v>
      </c>
      <c r="Q170" s="24">
        <v>780995.12999999989</v>
      </c>
      <c r="R170" s="24"/>
      <c r="S170" s="24"/>
      <c r="T170" s="25"/>
      <c r="U170" s="25"/>
      <c r="V170" s="25"/>
      <c r="W170" s="25"/>
    </row>
    <row r="171" spans="1:23" ht="15.75" customHeight="1" x14ac:dyDescent="0.25">
      <c r="A171" s="14" t="s">
        <v>8</v>
      </c>
      <c r="B171" s="15">
        <v>55</v>
      </c>
      <c r="C171" s="15">
        <v>55</v>
      </c>
      <c r="D171" s="15">
        <v>55</v>
      </c>
      <c r="E171" s="15">
        <v>55</v>
      </c>
      <c r="F171" s="15">
        <v>55</v>
      </c>
      <c r="G171" s="15">
        <v>55</v>
      </c>
      <c r="H171" s="15">
        <v>55</v>
      </c>
      <c r="I171" s="15">
        <v>55</v>
      </c>
      <c r="J171" s="15">
        <v>55</v>
      </c>
      <c r="K171" s="16">
        <v>55</v>
      </c>
      <c r="L171" s="15">
        <v>55</v>
      </c>
      <c r="M171" s="15">
        <v>55</v>
      </c>
      <c r="N171" s="25"/>
      <c r="O171" s="15"/>
      <c r="P171" s="21"/>
      <c r="Q171" s="24"/>
      <c r="R171" s="24"/>
      <c r="S171" s="24"/>
      <c r="T171" s="25"/>
      <c r="U171" s="25"/>
      <c r="V171" s="25"/>
      <c r="W171" s="25"/>
    </row>
    <row r="172" spans="1:23" ht="15.75" customHeight="1" x14ac:dyDescent="0.25">
      <c r="A172" s="20" t="s">
        <v>4</v>
      </c>
      <c r="B172" s="21">
        <v>2783264.25</v>
      </c>
      <c r="C172" s="21">
        <v>2977961.75</v>
      </c>
      <c r="D172" s="21">
        <v>2485134</v>
      </c>
      <c r="E172" s="21">
        <v>2297862.75</v>
      </c>
      <c r="F172" s="21">
        <v>2284876.25</v>
      </c>
      <c r="G172" s="21">
        <v>678091.5</v>
      </c>
      <c r="H172" s="21">
        <v>1869677.75</v>
      </c>
      <c r="I172" s="21">
        <v>2135162.75</v>
      </c>
      <c r="J172" s="21">
        <v>2978042.75</v>
      </c>
      <c r="K172" s="22">
        <v>2806148.5</v>
      </c>
      <c r="L172" s="21">
        <v>3223114.25</v>
      </c>
      <c r="M172" s="21">
        <v>2675033.75</v>
      </c>
      <c r="N172" s="25"/>
      <c r="O172" s="21">
        <f t="shared" ref="O172:O182" si="12">SUM(B172:M172)</f>
        <v>29194370.25</v>
      </c>
      <c r="P172" s="21">
        <f t="shared" si="10"/>
        <v>336213338.07999998</v>
      </c>
      <c r="Q172" s="24">
        <v>307018967.82999998</v>
      </c>
      <c r="R172" s="24"/>
      <c r="S172" s="24"/>
      <c r="T172" s="25"/>
      <c r="U172" s="25"/>
      <c r="V172" s="25"/>
      <c r="W172" s="25"/>
    </row>
    <row r="173" spans="1:23" ht="15.75" customHeight="1" x14ac:dyDescent="0.25">
      <c r="A173" s="20" t="s">
        <v>5</v>
      </c>
      <c r="B173" s="21">
        <v>389657.00000000006</v>
      </c>
      <c r="C173" s="21">
        <v>416914.64999999997</v>
      </c>
      <c r="D173" s="21">
        <v>347918.76999999996</v>
      </c>
      <c r="E173" s="21">
        <v>321700.80000000005</v>
      </c>
      <c r="F173" s="21">
        <v>319882.68000000005</v>
      </c>
      <c r="G173" s="21">
        <v>94932.82</v>
      </c>
      <c r="H173" s="21">
        <v>261754.88999999998</v>
      </c>
      <c r="I173" s="21">
        <v>298922.8</v>
      </c>
      <c r="J173" s="21">
        <v>416926.00999999995</v>
      </c>
      <c r="K173" s="22">
        <v>392860.81</v>
      </c>
      <c r="L173" s="21">
        <v>451236.01</v>
      </c>
      <c r="M173" s="21">
        <v>374504.74</v>
      </c>
      <c r="N173" s="25"/>
      <c r="O173" s="21">
        <f t="shared" si="12"/>
        <v>4087211.9799999995</v>
      </c>
      <c r="P173" s="21">
        <f t="shared" si="10"/>
        <v>44558715.289999999</v>
      </c>
      <c r="Q173" s="24">
        <v>40471503.310000002</v>
      </c>
      <c r="R173" s="24"/>
      <c r="S173" s="24"/>
      <c r="T173" s="25"/>
      <c r="U173" s="25"/>
      <c r="V173" s="25"/>
      <c r="W173" s="25"/>
    </row>
    <row r="174" spans="1:23" ht="15.75" customHeight="1" x14ac:dyDescent="0.25">
      <c r="A174" s="20" t="s">
        <v>6</v>
      </c>
      <c r="B174" s="21">
        <v>55665.289999999994</v>
      </c>
      <c r="C174" s="21">
        <v>59559.24</v>
      </c>
      <c r="D174" s="21">
        <v>49702.69</v>
      </c>
      <c r="E174" s="21">
        <v>45957.27</v>
      </c>
      <c r="F174" s="21">
        <v>45697.53</v>
      </c>
      <c r="G174" s="21">
        <v>13561.84</v>
      </c>
      <c r="H174" s="21">
        <v>37393.56</v>
      </c>
      <c r="I174" s="21">
        <v>42703.27</v>
      </c>
      <c r="J174" s="21">
        <v>59560.880000000005</v>
      </c>
      <c r="K174" s="22">
        <v>56122.990000000005</v>
      </c>
      <c r="L174" s="21">
        <v>64462.3</v>
      </c>
      <c r="M174" s="21">
        <v>53500.69</v>
      </c>
      <c r="N174" s="25"/>
      <c r="O174" s="21">
        <f t="shared" si="12"/>
        <v>583887.55000000005</v>
      </c>
      <c r="P174" s="21">
        <f t="shared" si="10"/>
        <v>6724268.3600000003</v>
      </c>
      <c r="Q174" s="24">
        <v>6140380.8100000005</v>
      </c>
      <c r="R174" s="24"/>
      <c r="S174" s="24"/>
      <c r="T174" s="25"/>
      <c r="U174" s="25"/>
      <c r="V174" s="25"/>
      <c r="W174" s="25"/>
    </row>
    <row r="175" spans="1:23" ht="15.75" customHeight="1" x14ac:dyDescent="0.25">
      <c r="A175" s="14" t="s">
        <v>9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6">
        <v>0</v>
      </c>
      <c r="L175" s="16">
        <v>0</v>
      </c>
      <c r="M175" s="15">
        <v>0</v>
      </c>
      <c r="N175" s="25"/>
      <c r="O175" s="15"/>
      <c r="P175" s="21"/>
      <c r="Q175" s="24"/>
      <c r="R175" s="24"/>
      <c r="S175" s="24"/>
      <c r="T175" s="25"/>
      <c r="U175" s="25"/>
      <c r="V175" s="25"/>
      <c r="W175" s="25"/>
    </row>
    <row r="176" spans="1:23" ht="15.75" customHeight="1" x14ac:dyDescent="0.25">
      <c r="A176" s="20" t="s">
        <v>4</v>
      </c>
      <c r="B176" s="21">
        <v>0</v>
      </c>
      <c r="C176" s="21">
        <v>0</v>
      </c>
      <c r="D176" s="21">
        <v>0</v>
      </c>
      <c r="E176" s="21">
        <v>0</v>
      </c>
      <c r="F176" s="21">
        <v>0</v>
      </c>
      <c r="G176" s="21">
        <v>0</v>
      </c>
      <c r="H176" s="21">
        <v>0</v>
      </c>
      <c r="I176" s="21">
        <v>0</v>
      </c>
      <c r="J176" s="21">
        <v>0</v>
      </c>
      <c r="K176" s="22">
        <v>0</v>
      </c>
      <c r="L176" s="21">
        <v>0</v>
      </c>
      <c r="M176" s="21">
        <v>0</v>
      </c>
      <c r="N176" s="25"/>
      <c r="O176" s="21">
        <f t="shared" si="12"/>
        <v>0</v>
      </c>
      <c r="P176" s="21">
        <f t="shared" si="10"/>
        <v>72711</v>
      </c>
      <c r="Q176" s="24">
        <v>72711</v>
      </c>
      <c r="R176" s="24"/>
      <c r="S176" s="24"/>
      <c r="T176" s="25"/>
      <c r="U176" s="25"/>
      <c r="V176" s="25"/>
      <c r="W176" s="25"/>
    </row>
    <row r="177" spans="1:23" ht="15.75" customHeight="1" x14ac:dyDescent="0.25">
      <c r="A177" s="20" t="s">
        <v>5</v>
      </c>
      <c r="B177" s="21">
        <v>0</v>
      </c>
      <c r="C177" s="21">
        <v>0</v>
      </c>
      <c r="D177" s="21">
        <v>0</v>
      </c>
      <c r="E177" s="21">
        <v>0</v>
      </c>
      <c r="F177" s="21">
        <v>0</v>
      </c>
      <c r="G177" s="21">
        <v>0</v>
      </c>
      <c r="H177" s="21">
        <v>0</v>
      </c>
      <c r="I177" s="21">
        <v>0</v>
      </c>
      <c r="J177" s="21">
        <v>0</v>
      </c>
      <c r="K177" s="22">
        <v>0</v>
      </c>
      <c r="L177" s="21">
        <v>0</v>
      </c>
      <c r="M177" s="21">
        <v>0</v>
      </c>
      <c r="N177" s="25"/>
      <c r="O177" s="21">
        <f t="shared" si="12"/>
        <v>0</v>
      </c>
      <c r="P177" s="21">
        <f t="shared" si="10"/>
        <v>8725.3200000000015</v>
      </c>
      <c r="Q177" s="24">
        <v>8725.3200000000015</v>
      </c>
      <c r="R177" s="24"/>
      <c r="S177" s="24"/>
      <c r="T177" s="25"/>
      <c r="U177" s="25"/>
      <c r="V177" s="25"/>
      <c r="W177" s="25"/>
    </row>
    <row r="178" spans="1:23" ht="15.75" customHeight="1" x14ac:dyDescent="0.25">
      <c r="A178" s="20" t="s">
        <v>6</v>
      </c>
      <c r="B178" s="21">
        <v>0</v>
      </c>
      <c r="C178" s="21">
        <v>0</v>
      </c>
      <c r="D178" s="21">
        <v>0</v>
      </c>
      <c r="E178" s="21">
        <v>0</v>
      </c>
      <c r="F178" s="21">
        <v>0</v>
      </c>
      <c r="G178" s="21">
        <v>0</v>
      </c>
      <c r="H178" s="21">
        <v>0</v>
      </c>
      <c r="I178" s="21">
        <v>0</v>
      </c>
      <c r="J178" s="21">
        <v>0</v>
      </c>
      <c r="K178" s="22">
        <v>0</v>
      </c>
      <c r="L178" s="21">
        <v>0</v>
      </c>
      <c r="M178" s="21">
        <v>0</v>
      </c>
      <c r="N178" s="25"/>
      <c r="O178" s="21">
        <f t="shared" si="12"/>
        <v>0</v>
      </c>
      <c r="P178" s="21">
        <f t="shared" si="10"/>
        <v>1454.22</v>
      </c>
      <c r="Q178" s="24">
        <v>1454.22</v>
      </c>
      <c r="R178" s="24"/>
      <c r="S178" s="24"/>
      <c r="T178" s="25"/>
      <c r="U178" s="25"/>
      <c r="V178" s="25"/>
      <c r="W178" s="25"/>
    </row>
    <row r="179" spans="1:23" ht="15.75" customHeight="1" x14ac:dyDescent="0.25">
      <c r="A179" s="14" t="s">
        <v>10</v>
      </c>
      <c r="B179" s="15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6">
        <v>0</v>
      </c>
      <c r="L179" s="15">
        <v>0</v>
      </c>
      <c r="M179" s="15">
        <v>0</v>
      </c>
      <c r="N179" s="25"/>
      <c r="O179" s="15"/>
      <c r="P179" s="21"/>
      <c r="Q179" s="24"/>
      <c r="R179" s="24"/>
      <c r="S179" s="24"/>
      <c r="T179" s="25"/>
      <c r="U179" s="25"/>
      <c r="V179" s="25"/>
      <c r="W179" s="25"/>
    </row>
    <row r="180" spans="1:23" ht="15.75" customHeight="1" x14ac:dyDescent="0.25">
      <c r="A180" s="20" t="s">
        <v>4</v>
      </c>
      <c r="B180" s="21">
        <v>0</v>
      </c>
      <c r="C180" s="21">
        <v>0</v>
      </c>
      <c r="D180" s="21">
        <v>0</v>
      </c>
      <c r="E180" s="21">
        <v>0</v>
      </c>
      <c r="F180" s="21">
        <v>0</v>
      </c>
      <c r="G180" s="21">
        <v>0</v>
      </c>
      <c r="H180" s="21">
        <v>0</v>
      </c>
      <c r="I180" s="21">
        <v>0</v>
      </c>
      <c r="J180" s="21">
        <v>0</v>
      </c>
      <c r="K180" s="22">
        <v>0</v>
      </c>
      <c r="L180" s="21">
        <v>0</v>
      </c>
      <c r="M180" s="21">
        <v>0</v>
      </c>
      <c r="N180" s="25"/>
      <c r="O180" s="21">
        <f t="shared" si="12"/>
        <v>0</v>
      </c>
      <c r="P180" s="21">
        <f t="shared" si="10"/>
        <v>768672.05</v>
      </c>
      <c r="Q180" s="24">
        <v>768672.05</v>
      </c>
      <c r="R180" s="24"/>
      <c r="S180" s="24"/>
      <c r="T180" s="25"/>
      <c r="U180" s="25"/>
      <c r="V180" s="25"/>
      <c r="W180" s="25"/>
    </row>
    <row r="181" spans="1:23" ht="15.75" customHeight="1" x14ac:dyDescent="0.25">
      <c r="A181" s="20" t="s">
        <v>5</v>
      </c>
      <c r="B181" s="21">
        <v>0</v>
      </c>
      <c r="C181" s="21">
        <v>0</v>
      </c>
      <c r="D181" s="21">
        <v>0</v>
      </c>
      <c r="E181" s="21">
        <v>0</v>
      </c>
      <c r="F181" s="21">
        <v>0</v>
      </c>
      <c r="G181" s="21">
        <v>0</v>
      </c>
      <c r="H181" s="21">
        <v>0</v>
      </c>
      <c r="I181" s="21">
        <v>0</v>
      </c>
      <c r="J181" s="21">
        <v>0</v>
      </c>
      <c r="K181" s="22">
        <v>0</v>
      </c>
      <c r="L181" s="21">
        <v>0</v>
      </c>
      <c r="M181" s="21">
        <v>0</v>
      </c>
      <c r="N181" s="25"/>
      <c r="O181" s="21">
        <f t="shared" si="12"/>
        <v>0</v>
      </c>
      <c r="P181" s="21">
        <f t="shared" si="10"/>
        <v>365974.09</v>
      </c>
      <c r="Q181" s="24">
        <v>365974.09</v>
      </c>
      <c r="R181" s="24"/>
      <c r="S181" s="24"/>
      <c r="T181" s="25"/>
      <c r="U181" s="25"/>
      <c r="V181" s="25"/>
      <c r="W181" s="25"/>
    </row>
    <row r="182" spans="1:23" ht="15.75" customHeight="1" x14ac:dyDescent="0.25">
      <c r="A182" s="20" t="s">
        <v>6</v>
      </c>
      <c r="B182" s="21">
        <v>0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2">
        <v>0</v>
      </c>
      <c r="L182" s="21">
        <v>0</v>
      </c>
      <c r="M182" s="21">
        <v>0</v>
      </c>
      <c r="N182" s="25"/>
      <c r="O182" s="21">
        <f t="shared" si="12"/>
        <v>0</v>
      </c>
      <c r="P182" s="21">
        <f t="shared" si="10"/>
        <v>15373.44</v>
      </c>
      <c r="Q182" s="24">
        <v>15373.44</v>
      </c>
      <c r="R182" s="24"/>
      <c r="S182" s="24"/>
      <c r="T182" s="25"/>
      <c r="U182" s="25"/>
      <c r="V182" s="25"/>
      <c r="W182" s="25"/>
    </row>
    <row r="183" spans="1:23" ht="15.75" customHeight="1" x14ac:dyDescent="0.25">
      <c r="A183" s="31" t="s">
        <v>11</v>
      </c>
      <c r="B183" s="15">
        <v>5</v>
      </c>
      <c r="C183" s="15">
        <v>5</v>
      </c>
      <c r="D183" s="15">
        <v>5</v>
      </c>
      <c r="E183" s="15">
        <v>5</v>
      </c>
      <c r="F183" s="15">
        <v>5</v>
      </c>
      <c r="G183" s="15">
        <v>5</v>
      </c>
      <c r="H183" s="15">
        <v>5</v>
      </c>
      <c r="I183" s="15">
        <v>5</v>
      </c>
      <c r="J183" s="15">
        <v>5</v>
      </c>
      <c r="K183" s="16">
        <v>5</v>
      </c>
      <c r="L183" s="16">
        <v>5</v>
      </c>
      <c r="M183" s="16">
        <v>5</v>
      </c>
      <c r="N183" s="25"/>
      <c r="O183" s="21"/>
      <c r="P183" s="21"/>
      <c r="Q183" s="24"/>
      <c r="R183" s="24"/>
      <c r="S183" s="24"/>
      <c r="T183" s="25"/>
      <c r="U183" s="25"/>
      <c r="V183" s="25"/>
      <c r="W183" s="25"/>
    </row>
    <row r="184" spans="1:23" ht="15.75" customHeight="1" x14ac:dyDescent="0.25">
      <c r="A184" s="32" t="s">
        <v>4</v>
      </c>
      <c r="B184" s="21">
        <v>61804.29</v>
      </c>
      <c r="C184" s="21">
        <v>71994.77</v>
      </c>
      <c r="D184" s="21">
        <v>79818.5</v>
      </c>
      <c r="E184" s="21">
        <v>66541.16</v>
      </c>
      <c r="F184" s="21">
        <v>64037.059999999983</v>
      </c>
      <c r="G184" s="21">
        <v>36447.31</v>
      </c>
      <c r="H184" s="21">
        <v>96690.25</v>
      </c>
      <c r="I184" s="21">
        <v>117276.59000000001</v>
      </c>
      <c r="J184" s="21">
        <v>146235.04</v>
      </c>
      <c r="K184" s="22">
        <v>125024.39</v>
      </c>
      <c r="L184" s="21">
        <v>129523.04000000001</v>
      </c>
      <c r="M184" s="21">
        <v>18755.039999999994</v>
      </c>
      <c r="N184" s="25"/>
      <c r="O184" s="21">
        <f>SUM(B184:M184)</f>
        <v>1014147.4400000001</v>
      </c>
      <c r="P184" s="21">
        <f t="shared" si="10"/>
        <v>3329430.56</v>
      </c>
      <c r="Q184" s="24">
        <v>2315283.12</v>
      </c>
      <c r="R184" s="24"/>
      <c r="S184" s="24"/>
      <c r="T184" s="25"/>
      <c r="U184" s="25"/>
      <c r="V184" s="25"/>
      <c r="W184" s="25"/>
    </row>
    <row r="185" spans="1:23" ht="15.75" customHeight="1" x14ac:dyDescent="0.25">
      <c r="A185" s="20" t="s">
        <v>5</v>
      </c>
      <c r="B185" s="21">
        <v>8652.61</v>
      </c>
      <c r="C185" s="21">
        <v>10079.259999999998</v>
      </c>
      <c r="D185" s="21">
        <v>11174.590000000002</v>
      </c>
      <c r="E185" s="21">
        <v>9315.76</v>
      </c>
      <c r="F185" s="21">
        <v>8965.17</v>
      </c>
      <c r="G185" s="21">
        <v>5102.62</v>
      </c>
      <c r="H185" s="21">
        <v>13536.64</v>
      </c>
      <c r="I185" s="21">
        <v>16418.72</v>
      </c>
      <c r="J185" s="21">
        <v>20472.900000000001</v>
      </c>
      <c r="K185" s="22">
        <v>17503.410000000003</v>
      </c>
      <c r="L185" s="21">
        <v>18133.23</v>
      </c>
      <c r="M185" s="21">
        <v>2625.7200000000007</v>
      </c>
      <c r="N185" s="25"/>
      <c r="O185" s="21">
        <f>SUM(B185:M185)</f>
        <v>141980.63</v>
      </c>
      <c r="P185" s="21">
        <f t="shared" si="10"/>
        <v>466120.35</v>
      </c>
      <c r="Q185" s="24">
        <v>324139.71999999997</v>
      </c>
      <c r="R185" s="24"/>
      <c r="S185" s="24"/>
      <c r="T185" s="25"/>
      <c r="U185" s="25"/>
      <c r="V185" s="25"/>
      <c r="W185" s="25"/>
    </row>
    <row r="186" spans="1:23" ht="15.75" customHeight="1" x14ac:dyDescent="0.25">
      <c r="A186" s="32" t="s">
        <v>6</v>
      </c>
      <c r="B186" s="21">
        <v>1236.08</v>
      </c>
      <c r="C186" s="21">
        <v>1439.8999999999999</v>
      </c>
      <c r="D186" s="21">
        <v>1596.38</v>
      </c>
      <c r="E186" s="21">
        <v>1330.8200000000002</v>
      </c>
      <c r="F186" s="21">
        <v>1280.7399999999998</v>
      </c>
      <c r="G186" s="21">
        <v>728.95</v>
      </c>
      <c r="H186" s="21">
        <v>1933.8100000000002</v>
      </c>
      <c r="I186" s="21">
        <v>2345.54</v>
      </c>
      <c r="J186" s="21">
        <v>2924.71</v>
      </c>
      <c r="K186" s="22">
        <v>2500.4899999999998</v>
      </c>
      <c r="L186" s="21">
        <v>2590.4600000000005</v>
      </c>
      <c r="M186" s="21">
        <v>375.1</v>
      </c>
      <c r="N186" s="25"/>
      <c r="O186" s="21">
        <f>SUM(B186:M186)</f>
        <v>20282.979999999996</v>
      </c>
      <c r="P186" s="21">
        <f t="shared" si="10"/>
        <v>66588.679999999993</v>
      </c>
      <c r="Q186" s="24">
        <v>46305.7</v>
      </c>
      <c r="R186" s="24"/>
      <c r="S186" s="24"/>
      <c r="T186" s="25"/>
      <c r="U186" s="25"/>
      <c r="V186" s="25"/>
      <c r="W186" s="25"/>
    </row>
    <row r="187" spans="1:23" ht="15.75" customHeight="1" x14ac:dyDescent="0.25">
      <c r="B187" s="21"/>
      <c r="C187" s="21"/>
      <c r="D187" s="21"/>
      <c r="E187" s="21"/>
      <c r="F187" s="21"/>
      <c r="G187" s="21"/>
      <c r="H187" s="25"/>
      <c r="I187" s="21"/>
      <c r="J187" s="21"/>
      <c r="K187" s="22"/>
      <c r="L187" s="21"/>
      <c r="M187" s="21"/>
      <c r="N187" s="25"/>
      <c r="O187" s="21"/>
      <c r="P187" s="21"/>
      <c r="Q187" s="24"/>
      <c r="R187" s="24"/>
      <c r="S187" s="24"/>
      <c r="T187" s="25"/>
      <c r="U187" s="25"/>
      <c r="V187" s="25"/>
      <c r="W187" s="25"/>
    </row>
    <row r="188" spans="1:23" ht="15.75" customHeight="1" x14ac:dyDescent="0.25">
      <c r="A188" s="12" t="s">
        <v>41</v>
      </c>
      <c r="B188" s="21"/>
      <c r="C188" s="21"/>
      <c r="D188" s="21"/>
      <c r="E188" s="21"/>
      <c r="F188" s="21"/>
      <c r="G188" s="21"/>
      <c r="H188" s="25"/>
      <c r="I188" s="21"/>
      <c r="J188" s="21"/>
      <c r="K188" s="22"/>
      <c r="L188" s="21"/>
      <c r="M188" s="21"/>
      <c r="N188" s="25"/>
      <c r="O188" s="21"/>
      <c r="P188" s="21"/>
      <c r="Q188" s="24"/>
      <c r="R188" s="24"/>
      <c r="S188" s="24"/>
      <c r="T188" s="25"/>
      <c r="U188" s="25"/>
      <c r="V188" s="25"/>
      <c r="W188" s="25"/>
    </row>
    <row r="189" spans="1:23" ht="15.75" customHeight="1" x14ac:dyDescent="0.25">
      <c r="A189" s="14" t="s">
        <v>3</v>
      </c>
      <c r="B189" s="15">
        <v>222</v>
      </c>
      <c r="C189" s="40">
        <v>222</v>
      </c>
      <c r="D189" s="15">
        <v>222</v>
      </c>
      <c r="E189" s="15">
        <v>222</v>
      </c>
      <c r="F189" s="15">
        <v>222</v>
      </c>
      <c r="G189" s="15">
        <v>222</v>
      </c>
      <c r="H189" s="15">
        <v>222</v>
      </c>
      <c r="I189" s="15">
        <v>222</v>
      </c>
      <c r="J189" s="15">
        <v>222</v>
      </c>
      <c r="K189" s="16">
        <v>225.2</v>
      </c>
      <c r="L189" s="15">
        <v>226</v>
      </c>
      <c r="M189" s="15">
        <v>226</v>
      </c>
      <c r="N189" s="25"/>
      <c r="O189" s="15"/>
      <c r="P189" s="21"/>
      <c r="Q189" s="24"/>
      <c r="R189" s="24"/>
      <c r="S189" s="24"/>
      <c r="T189" s="25"/>
      <c r="U189" s="25"/>
      <c r="V189" s="25"/>
      <c r="W189" s="25"/>
    </row>
    <row r="190" spans="1:23" ht="15.75" customHeight="1" x14ac:dyDescent="0.25">
      <c r="A190" s="20" t="s">
        <v>4</v>
      </c>
      <c r="B190" s="21">
        <v>8817997.620000001</v>
      </c>
      <c r="C190" s="21">
        <v>12815932.629999999</v>
      </c>
      <c r="D190" s="21">
        <v>11571734.51</v>
      </c>
      <c r="E190" s="21">
        <v>14324441.879999999</v>
      </c>
      <c r="F190" s="21">
        <v>11185646.050000001</v>
      </c>
      <c r="G190" s="21">
        <v>3560223.28</v>
      </c>
      <c r="H190" s="21">
        <v>8694935.8399999999</v>
      </c>
      <c r="I190" s="21">
        <v>9964960.620000001</v>
      </c>
      <c r="J190" s="21">
        <v>10674363</v>
      </c>
      <c r="K190" s="22">
        <v>14165926.210000001</v>
      </c>
      <c r="L190" s="21">
        <v>13562790.67</v>
      </c>
      <c r="M190" s="21">
        <v>13946578.330000002</v>
      </c>
      <c r="N190" s="25"/>
      <c r="O190" s="21">
        <f>SUM(B190:M190)</f>
        <v>133285530.64000002</v>
      </c>
      <c r="P190" s="21">
        <f t="shared" si="10"/>
        <v>1967676528.1300001</v>
      </c>
      <c r="Q190" s="24">
        <v>1834390997.49</v>
      </c>
      <c r="R190" s="24"/>
      <c r="S190" s="24"/>
      <c r="T190" s="25"/>
      <c r="U190" s="25"/>
      <c r="V190" s="25"/>
      <c r="W190" s="25"/>
    </row>
    <row r="191" spans="1:23" ht="15.75" customHeight="1" x14ac:dyDescent="0.25">
      <c r="A191" s="20" t="s">
        <v>5</v>
      </c>
      <c r="B191" s="21">
        <v>1234519.6600000001</v>
      </c>
      <c r="C191" s="21">
        <v>1794230.5800000003</v>
      </c>
      <c r="D191" s="21">
        <v>1620042.8399999999</v>
      </c>
      <c r="E191" s="21">
        <v>2005421.88</v>
      </c>
      <c r="F191" s="21">
        <v>1565990.4400000002</v>
      </c>
      <c r="G191" s="21">
        <v>498431.26</v>
      </c>
      <c r="H191" s="21">
        <v>1217291.0100000002</v>
      </c>
      <c r="I191" s="21">
        <v>1395094.48</v>
      </c>
      <c r="J191" s="21">
        <v>1494410.8299999998</v>
      </c>
      <c r="K191" s="22">
        <v>1983229.6700000002</v>
      </c>
      <c r="L191" s="21">
        <v>1898790.7</v>
      </c>
      <c r="M191" s="21">
        <v>1952520.98</v>
      </c>
      <c r="N191" s="25"/>
      <c r="O191" s="21">
        <f>SUM(B191:M191)</f>
        <v>18659974.329999998</v>
      </c>
      <c r="P191" s="21">
        <f t="shared" si="10"/>
        <v>259706143.95999998</v>
      </c>
      <c r="Q191" s="24">
        <v>241046169.63</v>
      </c>
      <c r="R191" s="24"/>
      <c r="S191" s="24"/>
      <c r="T191" s="25"/>
      <c r="U191" s="25"/>
      <c r="V191" s="25"/>
      <c r="W191" s="25"/>
    </row>
    <row r="192" spans="1:23" ht="15.75" customHeight="1" x14ac:dyDescent="0.25">
      <c r="A192" s="20" t="s">
        <v>6</v>
      </c>
      <c r="B192" s="21">
        <v>176359.94999999998</v>
      </c>
      <c r="C192" s="21">
        <v>256318.66</v>
      </c>
      <c r="D192" s="21">
        <v>231434.70000000004</v>
      </c>
      <c r="E192" s="21">
        <v>286488.86</v>
      </c>
      <c r="F192" s="21">
        <v>223712.94</v>
      </c>
      <c r="G192" s="21">
        <v>71204.47</v>
      </c>
      <c r="H192" s="21">
        <v>173898.71999999997</v>
      </c>
      <c r="I192" s="21">
        <v>199299.21000000002</v>
      </c>
      <c r="J192" s="21">
        <v>213487.25999999998</v>
      </c>
      <c r="K192" s="22">
        <v>283318.52999999997</v>
      </c>
      <c r="L192" s="21">
        <v>271255.82</v>
      </c>
      <c r="M192" s="21">
        <v>278931.57</v>
      </c>
      <c r="N192" s="25"/>
      <c r="O192" s="21">
        <f>SUM(B192:M192)</f>
        <v>2665710.6899999995</v>
      </c>
      <c r="P192" s="21">
        <f t="shared" si="10"/>
        <v>39353531.130000003</v>
      </c>
      <c r="Q192" s="24">
        <v>36687820.440000005</v>
      </c>
      <c r="R192" s="24"/>
      <c r="S192" s="24"/>
      <c r="T192" s="25"/>
      <c r="U192" s="25"/>
      <c r="V192" s="25"/>
      <c r="W192" s="25"/>
    </row>
    <row r="193" spans="1:23" ht="15.75" customHeight="1" x14ac:dyDescent="0.25">
      <c r="A193" s="14" t="s">
        <v>7</v>
      </c>
      <c r="B193" s="15">
        <v>26</v>
      </c>
      <c r="C193" s="15">
        <v>26</v>
      </c>
      <c r="D193" s="15">
        <v>26</v>
      </c>
      <c r="E193" s="15">
        <v>26</v>
      </c>
      <c r="F193" s="15">
        <v>26</v>
      </c>
      <c r="G193" s="15">
        <v>26</v>
      </c>
      <c r="H193" s="15">
        <v>26</v>
      </c>
      <c r="I193" s="15">
        <v>26</v>
      </c>
      <c r="J193" s="15">
        <v>26</v>
      </c>
      <c r="K193" s="16">
        <v>26</v>
      </c>
      <c r="L193" s="15">
        <v>26</v>
      </c>
      <c r="M193" s="15">
        <v>26</v>
      </c>
      <c r="N193" s="25"/>
      <c r="O193" s="15"/>
      <c r="P193" s="21"/>
      <c r="Q193" s="24"/>
      <c r="R193" s="24"/>
      <c r="S193" s="24"/>
      <c r="T193" s="25"/>
      <c r="U193" s="25"/>
      <c r="V193" s="25"/>
      <c r="W193" s="25"/>
    </row>
    <row r="194" spans="1:23" ht="15.75" customHeight="1" x14ac:dyDescent="0.25">
      <c r="A194" s="20" t="s">
        <v>4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2">
        <v>0</v>
      </c>
      <c r="L194" s="21">
        <v>0</v>
      </c>
      <c r="M194" s="21">
        <v>0</v>
      </c>
      <c r="N194" s="25"/>
      <c r="O194" s="21">
        <f>SUM(B194:M194)</f>
        <v>0</v>
      </c>
      <c r="P194" s="21">
        <f t="shared" si="10"/>
        <v>99834633.5</v>
      </c>
      <c r="Q194" s="24">
        <v>99834633.5</v>
      </c>
      <c r="R194" s="24"/>
      <c r="S194" s="24"/>
      <c r="T194" s="25"/>
      <c r="U194" s="25"/>
      <c r="V194" s="25"/>
      <c r="W194" s="25"/>
    </row>
    <row r="195" spans="1:23" ht="15.75" customHeight="1" x14ac:dyDescent="0.25">
      <c r="A195" s="20" t="s">
        <v>5</v>
      </c>
      <c r="B195" s="21">
        <v>0</v>
      </c>
      <c r="C195" s="21">
        <v>0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1">
        <v>0</v>
      </c>
      <c r="J195" s="21">
        <v>0</v>
      </c>
      <c r="K195" s="22">
        <v>0</v>
      </c>
      <c r="L195" s="21">
        <v>0</v>
      </c>
      <c r="M195" s="21">
        <v>0</v>
      </c>
      <c r="N195" s="25"/>
      <c r="O195" s="21">
        <f>SUM(B195:M195)</f>
        <v>0</v>
      </c>
      <c r="P195" s="21">
        <f>O195+Q195</f>
        <v>13087431.890000001</v>
      </c>
      <c r="Q195" s="24">
        <v>13087431.890000001</v>
      </c>
      <c r="R195" s="24"/>
      <c r="S195" s="24"/>
      <c r="T195" s="25"/>
      <c r="U195" s="25"/>
      <c r="V195" s="25"/>
      <c r="W195" s="25"/>
    </row>
    <row r="196" spans="1:23" ht="15.75" customHeight="1" x14ac:dyDescent="0.25">
      <c r="A196" s="20" t="s">
        <v>6</v>
      </c>
      <c r="B196" s="21">
        <v>0</v>
      </c>
      <c r="C196" s="21">
        <v>0</v>
      </c>
      <c r="D196" s="21">
        <v>0</v>
      </c>
      <c r="E196" s="21">
        <v>0</v>
      </c>
      <c r="F196" s="21">
        <v>0</v>
      </c>
      <c r="G196" s="21">
        <v>0</v>
      </c>
      <c r="H196" s="21">
        <v>0</v>
      </c>
      <c r="I196" s="21">
        <v>0</v>
      </c>
      <c r="J196" s="21">
        <v>0</v>
      </c>
      <c r="K196" s="22">
        <v>0</v>
      </c>
      <c r="L196" s="21">
        <v>0</v>
      </c>
      <c r="M196" s="21">
        <v>0</v>
      </c>
      <c r="N196" s="25"/>
      <c r="O196" s="21">
        <f>SUM(B196:M196)</f>
        <v>0</v>
      </c>
      <c r="P196" s="21">
        <f t="shared" si="10"/>
        <v>1996692.6700000002</v>
      </c>
      <c r="Q196" s="24">
        <v>1996692.6700000002</v>
      </c>
      <c r="R196" s="24"/>
      <c r="S196" s="24"/>
      <c r="T196" s="25"/>
      <c r="U196" s="25"/>
      <c r="V196" s="25"/>
      <c r="W196" s="25"/>
    </row>
    <row r="197" spans="1:23" ht="15.75" customHeight="1" x14ac:dyDescent="0.25">
      <c r="A197" s="14" t="s">
        <v>8</v>
      </c>
      <c r="B197" s="15">
        <v>159</v>
      </c>
      <c r="C197" s="15">
        <v>159</v>
      </c>
      <c r="D197" s="15">
        <v>159</v>
      </c>
      <c r="E197" s="15">
        <v>159</v>
      </c>
      <c r="F197" s="15">
        <v>159</v>
      </c>
      <c r="G197" s="15">
        <v>159</v>
      </c>
      <c r="H197" s="15">
        <v>159</v>
      </c>
      <c r="I197" s="15">
        <v>159</v>
      </c>
      <c r="J197" s="15">
        <v>159</v>
      </c>
      <c r="K197" s="16">
        <v>157.4</v>
      </c>
      <c r="L197" s="15">
        <v>157</v>
      </c>
      <c r="M197" s="15">
        <v>157</v>
      </c>
      <c r="N197" s="25"/>
      <c r="O197" s="15"/>
      <c r="P197" s="21"/>
      <c r="Q197" s="24"/>
      <c r="R197" s="24"/>
      <c r="S197" s="24"/>
      <c r="T197" s="25"/>
      <c r="U197" s="25"/>
      <c r="V197" s="25"/>
      <c r="W197" s="25"/>
    </row>
    <row r="198" spans="1:23" ht="15.75" customHeight="1" x14ac:dyDescent="0.25">
      <c r="A198" s="20" t="s">
        <v>4</v>
      </c>
      <c r="B198" s="21">
        <v>8340461.5499999998</v>
      </c>
      <c r="C198" s="21">
        <v>12068950.93</v>
      </c>
      <c r="D198" s="21">
        <v>11027840.299999999</v>
      </c>
      <c r="E198" s="21">
        <v>13843175.720000001</v>
      </c>
      <c r="F198" s="21">
        <v>10660902.230000002</v>
      </c>
      <c r="G198" s="21">
        <v>3532560.05</v>
      </c>
      <c r="H198" s="21">
        <v>8273605.3999999994</v>
      </c>
      <c r="I198" s="21">
        <v>9467629.8499999996</v>
      </c>
      <c r="J198" s="21">
        <v>9941306.3999999985</v>
      </c>
      <c r="K198" s="22">
        <v>13620761.550000001</v>
      </c>
      <c r="L198" s="21">
        <v>12758754.539999999</v>
      </c>
      <c r="M198" s="21">
        <v>13388011.949999999</v>
      </c>
      <c r="N198" s="25"/>
      <c r="O198" s="21">
        <f t="shared" ref="O198:O208" si="13">SUM(B198:M198)</f>
        <v>126923960.47000001</v>
      </c>
      <c r="P198" s="21">
        <f t="shared" si="10"/>
        <v>1832827150.3399999</v>
      </c>
      <c r="Q198" s="24">
        <v>1705903189.8699999</v>
      </c>
      <c r="R198" s="24"/>
      <c r="S198" s="24"/>
      <c r="T198" s="25"/>
      <c r="U198" s="25"/>
      <c r="V198" s="25"/>
      <c r="W198" s="25"/>
    </row>
    <row r="199" spans="1:23" ht="15.75" customHeight="1" x14ac:dyDescent="0.25">
      <c r="A199" s="20" t="s">
        <v>5</v>
      </c>
      <c r="B199" s="21">
        <v>1167664.6099999999</v>
      </c>
      <c r="C199" s="21">
        <v>1689653.14</v>
      </c>
      <c r="D199" s="21">
        <v>1543897.65</v>
      </c>
      <c r="E199" s="21">
        <v>1938044.6099999999</v>
      </c>
      <c r="F199" s="21">
        <v>1492526.31</v>
      </c>
      <c r="G199" s="21">
        <v>494558.41000000003</v>
      </c>
      <c r="H199" s="21">
        <v>1158304.76</v>
      </c>
      <c r="I199" s="21">
        <v>1325468.18</v>
      </c>
      <c r="J199" s="21">
        <v>1391782.9</v>
      </c>
      <c r="K199" s="22">
        <v>1906906.62</v>
      </c>
      <c r="L199" s="21">
        <v>1786225.6400000001</v>
      </c>
      <c r="M199" s="21">
        <v>1874321.6800000002</v>
      </c>
      <c r="N199" s="25"/>
      <c r="O199" s="21">
        <f t="shared" si="13"/>
        <v>17769354.510000002</v>
      </c>
      <c r="P199" s="21">
        <f t="shared" si="10"/>
        <v>241724678.62</v>
      </c>
      <c r="Q199" s="24">
        <v>223955324.11000001</v>
      </c>
      <c r="R199" s="24"/>
      <c r="S199" s="24"/>
      <c r="T199" s="25"/>
      <c r="U199" s="25"/>
      <c r="V199" s="25"/>
      <c r="W199" s="25"/>
    </row>
    <row r="200" spans="1:23" ht="15.75" customHeight="1" x14ac:dyDescent="0.25">
      <c r="A200" s="20" t="s">
        <v>6</v>
      </c>
      <c r="B200" s="21">
        <v>166809.22999999998</v>
      </c>
      <c r="C200" s="21">
        <v>241379.02000000002</v>
      </c>
      <c r="D200" s="21">
        <v>220556.81</v>
      </c>
      <c r="E200" s="21">
        <v>276863.51999999996</v>
      </c>
      <c r="F200" s="21">
        <v>213218.06</v>
      </c>
      <c r="G200" s="21">
        <v>70651.199999999997</v>
      </c>
      <c r="H200" s="21">
        <v>165472.10999999999</v>
      </c>
      <c r="I200" s="21">
        <v>189352.59</v>
      </c>
      <c r="J200" s="21">
        <v>198826.13999999998</v>
      </c>
      <c r="K200" s="22">
        <v>272415.24</v>
      </c>
      <c r="L200" s="21">
        <v>255175.1</v>
      </c>
      <c r="M200" s="21">
        <v>267760.25</v>
      </c>
      <c r="N200" s="25"/>
      <c r="O200" s="21">
        <f t="shared" si="13"/>
        <v>2538479.27</v>
      </c>
      <c r="P200" s="21">
        <f t="shared" si="10"/>
        <v>36656543.469999999</v>
      </c>
      <c r="Q200" s="24">
        <v>34118064.199999996</v>
      </c>
      <c r="R200" s="24"/>
      <c r="S200" s="24"/>
      <c r="T200" s="25"/>
      <c r="U200" s="25"/>
      <c r="V200" s="25"/>
      <c r="W200" s="25"/>
    </row>
    <row r="201" spans="1:23" ht="15.75" customHeight="1" x14ac:dyDescent="0.25">
      <c r="A201" s="14" t="s">
        <v>9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6">
        <v>0</v>
      </c>
      <c r="L201" s="15">
        <v>0</v>
      </c>
      <c r="M201" s="15">
        <v>0</v>
      </c>
      <c r="N201" s="25"/>
      <c r="O201" s="15"/>
      <c r="P201" s="21"/>
      <c r="Q201" s="24"/>
      <c r="R201" s="24"/>
      <c r="S201" s="24"/>
      <c r="T201" s="25"/>
      <c r="U201" s="25"/>
      <c r="V201" s="25"/>
      <c r="W201" s="25"/>
    </row>
    <row r="202" spans="1:23" ht="15.75" customHeight="1" x14ac:dyDescent="0.25">
      <c r="A202" s="20" t="s">
        <v>4</v>
      </c>
      <c r="B202" s="21">
        <v>0</v>
      </c>
      <c r="C202" s="21">
        <v>0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2">
        <v>0</v>
      </c>
      <c r="L202" s="21">
        <v>0</v>
      </c>
      <c r="M202" s="21">
        <v>0</v>
      </c>
      <c r="N202" s="25"/>
      <c r="O202" s="21">
        <f t="shared" si="13"/>
        <v>0</v>
      </c>
      <c r="P202" s="21">
        <f t="shared" ref="P202:P264" si="14">O202+Q202</f>
        <v>0</v>
      </c>
      <c r="Q202" s="24">
        <v>0</v>
      </c>
      <c r="R202" s="24"/>
      <c r="S202" s="24"/>
      <c r="T202" s="25"/>
      <c r="U202" s="25"/>
      <c r="V202" s="25"/>
      <c r="W202" s="25"/>
    </row>
    <row r="203" spans="1:23" ht="15.75" customHeight="1" x14ac:dyDescent="0.25">
      <c r="A203" s="20" t="s">
        <v>5</v>
      </c>
      <c r="B203" s="21">
        <v>0</v>
      </c>
      <c r="C203" s="21">
        <v>0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2">
        <v>0</v>
      </c>
      <c r="L203" s="21">
        <v>0</v>
      </c>
      <c r="M203" s="21">
        <v>0</v>
      </c>
      <c r="N203" s="25"/>
      <c r="O203" s="21">
        <f t="shared" si="13"/>
        <v>0</v>
      </c>
      <c r="P203" s="21">
        <f t="shared" si="14"/>
        <v>0</v>
      </c>
      <c r="Q203" s="24">
        <v>0</v>
      </c>
      <c r="R203" s="24"/>
      <c r="S203" s="24"/>
      <c r="T203" s="25"/>
      <c r="U203" s="25"/>
      <c r="V203" s="25"/>
      <c r="W203" s="25"/>
    </row>
    <row r="204" spans="1:23" ht="15.75" customHeight="1" x14ac:dyDescent="0.25">
      <c r="A204" s="20" t="s">
        <v>6</v>
      </c>
      <c r="B204" s="21">
        <v>0</v>
      </c>
      <c r="C204" s="21">
        <v>0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2">
        <v>0</v>
      </c>
      <c r="L204" s="21">
        <v>0</v>
      </c>
      <c r="M204" s="21">
        <v>0</v>
      </c>
      <c r="N204" s="25"/>
      <c r="O204" s="21">
        <f t="shared" si="13"/>
        <v>0</v>
      </c>
      <c r="P204" s="21">
        <f t="shared" si="14"/>
        <v>0</v>
      </c>
      <c r="Q204" s="24">
        <v>0</v>
      </c>
      <c r="R204" s="24"/>
      <c r="S204" s="24"/>
      <c r="T204" s="25"/>
      <c r="U204" s="25"/>
      <c r="V204" s="25"/>
      <c r="W204" s="25"/>
    </row>
    <row r="205" spans="1:23" ht="15.75" customHeight="1" x14ac:dyDescent="0.25">
      <c r="A205" s="14" t="s">
        <v>10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6">
        <v>0</v>
      </c>
      <c r="L205" s="15">
        <v>0</v>
      </c>
      <c r="M205" s="15">
        <v>0</v>
      </c>
      <c r="N205" s="25"/>
      <c r="O205" s="15"/>
      <c r="P205" s="21"/>
      <c r="Q205" s="24"/>
      <c r="R205" s="24"/>
      <c r="S205" s="24"/>
      <c r="T205" s="25"/>
      <c r="U205" s="25"/>
      <c r="V205" s="25"/>
      <c r="W205" s="25"/>
    </row>
    <row r="206" spans="1:23" ht="15.75" customHeight="1" x14ac:dyDescent="0.25">
      <c r="A206" s="20" t="s">
        <v>4</v>
      </c>
      <c r="B206" s="21">
        <v>0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2">
        <v>0</v>
      </c>
      <c r="L206" s="21">
        <v>0</v>
      </c>
      <c r="M206" s="21">
        <v>0</v>
      </c>
      <c r="N206" s="25"/>
      <c r="O206" s="21">
        <f t="shared" si="13"/>
        <v>0</v>
      </c>
      <c r="P206" s="21">
        <f t="shared" si="14"/>
        <v>0</v>
      </c>
      <c r="Q206" s="24">
        <v>0</v>
      </c>
      <c r="R206" s="24"/>
      <c r="S206" s="24"/>
      <c r="T206" s="25"/>
      <c r="U206" s="25"/>
      <c r="V206" s="25"/>
      <c r="W206" s="25"/>
    </row>
    <row r="207" spans="1:23" ht="15.75" customHeight="1" x14ac:dyDescent="0.25">
      <c r="A207" s="20" t="s">
        <v>5</v>
      </c>
      <c r="B207" s="21">
        <v>0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2">
        <v>0</v>
      </c>
      <c r="L207" s="21">
        <v>0</v>
      </c>
      <c r="M207" s="21">
        <v>0</v>
      </c>
      <c r="N207" s="25"/>
      <c r="O207" s="21">
        <f t="shared" si="13"/>
        <v>0</v>
      </c>
      <c r="P207" s="21">
        <f t="shared" si="14"/>
        <v>0</v>
      </c>
      <c r="Q207" s="24">
        <v>0</v>
      </c>
      <c r="R207" s="24"/>
      <c r="S207" s="24"/>
      <c r="T207" s="25"/>
      <c r="U207" s="25"/>
      <c r="V207" s="25"/>
      <c r="W207" s="25"/>
    </row>
    <row r="208" spans="1:23" ht="15.75" customHeight="1" x14ac:dyDescent="0.25">
      <c r="A208" s="20" t="s">
        <v>6</v>
      </c>
      <c r="B208" s="21">
        <v>0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2">
        <v>0</v>
      </c>
      <c r="L208" s="21">
        <v>0</v>
      </c>
      <c r="M208" s="21">
        <v>0</v>
      </c>
      <c r="N208" s="25"/>
      <c r="O208" s="21">
        <f t="shared" si="13"/>
        <v>0</v>
      </c>
      <c r="P208" s="21">
        <f t="shared" si="14"/>
        <v>0</v>
      </c>
      <c r="Q208" s="24">
        <v>0</v>
      </c>
      <c r="R208" s="24"/>
      <c r="S208" s="24"/>
      <c r="T208" s="25"/>
      <c r="U208" s="25"/>
      <c r="V208" s="25"/>
      <c r="W208" s="25"/>
    </row>
    <row r="209" spans="1:23" ht="15.75" customHeight="1" x14ac:dyDescent="0.25">
      <c r="A209" s="31" t="s">
        <v>11</v>
      </c>
      <c r="B209" s="15">
        <v>37</v>
      </c>
      <c r="C209" s="15">
        <v>37</v>
      </c>
      <c r="D209" s="15">
        <v>37</v>
      </c>
      <c r="E209" s="15">
        <v>37</v>
      </c>
      <c r="F209" s="15">
        <v>37</v>
      </c>
      <c r="G209" s="15">
        <v>37</v>
      </c>
      <c r="H209" s="15">
        <v>37</v>
      </c>
      <c r="I209" s="15">
        <v>37</v>
      </c>
      <c r="J209" s="15">
        <v>37</v>
      </c>
      <c r="K209" s="16">
        <v>41.8</v>
      </c>
      <c r="L209" s="15">
        <v>43</v>
      </c>
      <c r="M209" s="15">
        <v>43</v>
      </c>
      <c r="N209" s="26"/>
      <c r="O209" s="21"/>
      <c r="P209" s="21"/>
      <c r="Q209" s="24"/>
      <c r="R209" s="24"/>
      <c r="S209" s="24"/>
      <c r="T209" s="25"/>
      <c r="U209" s="25"/>
      <c r="V209" s="25"/>
      <c r="W209" s="25"/>
    </row>
    <row r="210" spans="1:23" ht="15.75" customHeight="1" x14ac:dyDescent="0.25">
      <c r="A210" s="32" t="s">
        <v>4</v>
      </c>
      <c r="B210" s="21">
        <v>477536.07</v>
      </c>
      <c r="C210" s="21">
        <v>746981.7</v>
      </c>
      <c r="D210" s="21">
        <v>543894.21</v>
      </c>
      <c r="E210" s="21">
        <v>481266.16000000003</v>
      </c>
      <c r="F210" s="21">
        <v>524743.82000000007</v>
      </c>
      <c r="G210" s="21">
        <v>27663.23</v>
      </c>
      <c r="H210" s="21">
        <v>421330.44</v>
      </c>
      <c r="I210" s="21">
        <v>497330.77</v>
      </c>
      <c r="J210" s="21">
        <v>733056.6</v>
      </c>
      <c r="K210" s="22">
        <v>545164.65999999992</v>
      </c>
      <c r="L210" s="21">
        <v>804036.13</v>
      </c>
      <c r="M210" s="21">
        <v>558566.38</v>
      </c>
      <c r="N210" s="26"/>
      <c r="O210" s="21">
        <f>SUM(B210:M210)</f>
        <v>6361570.1699999999</v>
      </c>
      <c r="P210" s="21">
        <f t="shared" si="14"/>
        <v>35014744.289999999</v>
      </c>
      <c r="Q210" s="24">
        <v>28653174.120000001</v>
      </c>
      <c r="R210" s="24"/>
      <c r="S210" s="24"/>
      <c r="T210" s="25"/>
      <c r="U210" s="25"/>
      <c r="V210" s="25"/>
      <c r="W210" s="25"/>
    </row>
    <row r="211" spans="1:23" ht="15.75" customHeight="1" x14ac:dyDescent="0.25">
      <c r="A211" s="20" t="s">
        <v>5</v>
      </c>
      <c r="B211" s="21">
        <v>66855.049999999988</v>
      </c>
      <c r="C211" s="21">
        <v>104577.44</v>
      </c>
      <c r="D211" s="21">
        <v>76145.189999999988</v>
      </c>
      <c r="E211" s="21">
        <v>67377.27</v>
      </c>
      <c r="F211" s="21">
        <v>73464.13</v>
      </c>
      <c r="G211" s="21">
        <v>3872.8500000000004</v>
      </c>
      <c r="H211" s="21">
        <v>58986.25</v>
      </c>
      <c r="I211" s="21">
        <v>69626.3</v>
      </c>
      <c r="J211" s="21">
        <v>102627.93000000001</v>
      </c>
      <c r="K211" s="22">
        <v>76323.05</v>
      </c>
      <c r="L211" s="21">
        <v>112565.06</v>
      </c>
      <c r="M211" s="21">
        <v>78199.3</v>
      </c>
      <c r="N211" s="26"/>
      <c r="O211" s="21">
        <f>SUM(B211:M211)</f>
        <v>890619.82000000007</v>
      </c>
      <c r="P211" s="21">
        <f t="shared" si="14"/>
        <v>4894033.45</v>
      </c>
      <c r="Q211" s="24">
        <v>4003413.6300000004</v>
      </c>
      <c r="R211" s="24"/>
      <c r="S211" s="24"/>
      <c r="T211" s="25"/>
      <c r="U211" s="25"/>
      <c r="V211" s="25"/>
      <c r="W211" s="25"/>
    </row>
    <row r="212" spans="1:23" ht="15.75" customHeight="1" x14ac:dyDescent="0.25">
      <c r="A212" s="32" t="s">
        <v>6</v>
      </c>
      <c r="B212" s="21">
        <v>9550.7199999999993</v>
      </c>
      <c r="C212" s="21">
        <v>14939.640000000001</v>
      </c>
      <c r="D212" s="21">
        <v>10877.889999999998</v>
      </c>
      <c r="E212" s="21">
        <v>9625.34</v>
      </c>
      <c r="F212" s="21">
        <v>10494.88</v>
      </c>
      <c r="G212" s="21">
        <v>553.27</v>
      </c>
      <c r="H212" s="21">
        <v>8426.6099999999988</v>
      </c>
      <c r="I212" s="21">
        <v>9946.619999999999</v>
      </c>
      <c r="J212" s="21">
        <v>14661.119999999999</v>
      </c>
      <c r="K212" s="22">
        <v>10903.289999999999</v>
      </c>
      <c r="L212" s="21">
        <v>16080.720000000001</v>
      </c>
      <c r="M212" s="21">
        <v>11171.32</v>
      </c>
      <c r="N212" s="26"/>
      <c r="O212" s="21">
        <f>SUM(B212:M212)</f>
        <v>127231.41999999998</v>
      </c>
      <c r="P212" s="21">
        <f t="shared" si="14"/>
        <v>700294.99</v>
      </c>
      <c r="Q212" s="24">
        <v>573063.57000000007</v>
      </c>
      <c r="R212" s="24"/>
      <c r="S212" s="24"/>
      <c r="T212" s="25"/>
      <c r="U212" s="25"/>
      <c r="V212" s="25"/>
      <c r="W212" s="25"/>
    </row>
    <row r="213" spans="1:23" ht="15.75" customHeight="1" x14ac:dyDescent="0.25">
      <c r="B213" s="15"/>
      <c r="C213" s="15"/>
      <c r="D213" s="15"/>
      <c r="E213" s="15"/>
      <c r="F213" s="15"/>
      <c r="G213" s="15"/>
      <c r="H213" s="25"/>
      <c r="I213" s="15"/>
      <c r="J213" s="15"/>
      <c r="K213" s="16"/>
      <c r="L213" s="15"/>
      <c r="M213" s="15"/>
      <c r="N213" s="25"/>
      <c r="O213" s="15"/>
      <c r="P213" s="21"/>
      <c r="Q213" s="24"/>
      <c r="R213" s="24"/>
      <c r="S213" s="24"/>
      <c r="T213" s="25"/>
      <c r="U213" s="25"/>
      <c r="V213" s="25"/>
      <c r="W213" s="25"/>
    </row>
    <row r="214" spans="1:23" ht="15.75" customHeight="1" x14ac:dyDescent="0.25">
      <c r="A214" s="12" t="s">
        <v>26</v>
      </c>
      <c r="B214" s="21"/>
      <c r="C214" s="21"/>
      <c r="D214" s="21"/>
      <c r="E214" s="21"/>
      <c r="F214" s="21"/>
      <c r="G214" s="21"/>
      <c r="H214" s="25"/>
      <c r="I214" s="21"/>
      <c r="J214" s="21"/>
      <c r="K214" s="22"/>
      <c r="L214" s="21"/>
      <c r="M214" s="21"/>
      <c r="N214" s="25"/>
      <c r="O214" s="21"/>
      <c r="P214" s="21"/>
      <c r="Q214" s="24"/>
      <c r="R214" s="24"/>
      <c r="S214" s="24"/>
      <c r="T214" s="25"/>
      <c r="U214" s="25"/>
      <c r="V214" s="25"/>
      <c r="W214" s="25"/>
    </row>
    <row r="215" spans="1:23" ht="15.75" customHeight="1" x14ac:dyDescent="0.25">
      <c r="A215" s="14" t="s">
        <v>3</v>
      </c>
      <c r="B215" s="15">
        <v>111</v>
      </c>
      <c r="C215" s="40">
        <v>111</v>
      </c>
      <c r="D215" s="15">
        <v>111</v>
      </c>
      <c r="E215" s="15">
        <v>106.2</v>
      </c>
      <c r="F215" s="15">
        <v>114</v>
      </c>
      <c r="G215" s="15">
        <v>114</v>
      </c>
      <c r="H215" s="15">
        <v>114</v>
      </c>
      <c r="I215" s="15">
        <v>119</v>
      </c>
      <c r="J215" s="15">
        <v>119</v>
      </c>
      <c r="K215" s="16">
        <v>119</v>
      </c>
      <c r="L215" s="15">
        <v>122.33333333333333</v>
      </c>
      <c r="M215" s="15">
        <v>129</v>
      </c>
      <c r="N215" s="25"/>
      <c r="O215" s="15"/>
      <c r="P215" s="21"/>
      <c r="Q215" s="24"/>
      <c r="R215" s="24"/>
      <c r="S215" s="24"/>
      <c r="T215" s="25"/>
      <c r="U215" s="25"/>
      <c r="V215" s="25"/>
      <c r="W215" s="25"/>
    </row>
    <row r="216" spans="1:23" ht="15.75" customHeight="1" x14ac:dyDescent="0.25">
      <c r="A216" s="20" t="s">
        <v>4</v>
      </c>
      <c r="B216" s="21">
        <v>3889729.6000000006</v>
      </c>
      <c r="C216" s="21">
        <v>5438105.8900000006</v>
      </c>
      <c r="D216" s="21">
        <v>5198971.9499999993</v>
      </c>
      <c r="E216" s="21">
        <v>5946131.2599999998</v>
      </c>
      <c r="F216" s="21">
        <v>3938804.66</v>
      </c>
      <c r="G216" s="21">
        <v>1058808.51</v>
      </c>
      <c r="H216" s="21">
        <v>4625139.8</v>
      </c>
      <c r="I216" s="21">
        <v>4818952.21</v>
      </c>
      <c r="J216" s="21">
        <v>6658842.4100000001</v>
      </c>
      <c r="K216" s="22">
        <v>6373017.5999999996</v>
      </c>
      <c r="L216" s="21">
        <v>6219838.5099999998</v>
      </c>
      <c r="M216" s="21">
        <v>7434388.25</v>
      </c>
      <c r="N216" s="25"/>
      <c r="O216" s="21">
        <f>SUM(B216:M216)</f>
        <v>61600730.650000006</v>
      </c>
      <c r="P216" s="21">
        <f t="shared" si="14"/>
        <v>748220561.02714288</v>
      </c>
      <c r="Q216" s="24">
        <v>686619830.37714291</v>
      </c>
      <c r="R216" s="24"/>
      <c r="S216" s="24"/>
      <c r="T216" s="25"/>
      <c r="U216" s="25"/>
      <c r="V216" s="25"/>
      <c r="W216" s="25"/>
    </row>
    <row r="217" spans="1:23" ht="15.75" customHeight="1" x14ac:dyDescent="0.25">
      <c r="A217" s="20" t="s">
        <v>5</v>
      </c>
      <c r="B217" s="21">
        <v>544562.16</v>
      </c>
      <c r="C217" s="21">
        <v>761334.84</v>
      </c>
      <c r="D217" s="21">
        <v>727856.08</v>
      </c>
      <c r="E217" s="21">
        <v>832458.38</v>
      </c>
      <c r="F217" s="21">
        <v>551432.66999999993</v>
      </c>
      <c r="G217" s="21">
        <v>148233.20000000001</v>
      </c>
      <c r="H217" s="21">
        <v>647519.59</v>
      </c>
      <c r="I217" s="21">
        <v>674653.33000000007</v>
      </c>
      <c r="J217" s="21">
        <v>932237.95000000007</v>
      </c>
      <c r="K217" s="22">
        <v>892222.47</v>
      </c>
      <c r="L217" s="21">
        <v>870777.41</v>
      </c>
      <c r="M217" s="21">
        <v>1040814.3699999999</v>
      </c>
      <c r="N217" s="25"/>
      <c r="O217" s="21">
        <f>SUM(B217:M217)</f>
        <v>8624102.4499999993</v>
      </c>
      <c r="P217" s="21">
        <f t="shared" si="14"/>
        <v>99096507.839999989</v>
      </c>
      <c r="Q217" s="24">
        <v>90472405.389999986</v>
      </c>
      <c r="R217" s="24"/>
      <c r="S217" s="24"/>
      <c r="T217" s="25"/>
      <c r="U217" s="25"/>
      <c r="V217" s="25"/>
      <c r="W217" s="25"/>
    </row>
    <row r="218" spans="1:23" ht="15.75" customHeight="1" x14ac:dyDescent="0.25">
      <c r="A218" s="20" t="s">
        <v>6</v>
      </c>
      <c r="B218" s="21">
        <v>77794.62</v>
      </c>
      <c r="C218" s="21">
        <v>108762.13</v>
      </c>
      <c r="D218" s="21">
        <v>103979.44</v>
      </c>
      <c r="E218" s="21">
        <v>118922.64</v>
      </c>
      <c r="F218" s="21">
        <v>78776.109999999986</v>
      </c>
      <c r="G218" s="21">
        <v>21176.18</v>
      </c>
      <c r="H218" s="21">
        <v>92502.82</v>
      </c>
      <c r="I218" s="21">
        <v>96379.07</v>
      </c>
      <c r="J218" s="21">
        <v>133176.84</v>
      </c>
      <c r="K218" s="22">
        <v>127460.37</v>
      </c>
      <c r="L218" s="21">
        <v>124396.79999999999</v>
      </c>
      <c r="M218" s="21">
        <v>148687.78</v>
      </c>
      <c r="N218" s="25"/>
      <c r="O218" s="21">
        <f>SUM(B218:M218)</f>
        <v>1232014.8</v>
      </c>
      <c r="P218" s="21">
        <f t="shared" si="14"/>
        <v>14964412.15</v>
      </c>
      <c r="Q218" s="24">
        <v>13732397.35</v>
      </c>
      <c r="R218" s="24"/>
      <c r="S218" s="24"/>
      <c r="T218" s="25"/>
      <c r="U218" s="25"/>
      <c r="V218" s="25"/>
      <c r="W218" s="25"/>
    </row>
    <row r="219" spans="1:23" ht="15.75" customHeight="1" x14ac:dyDescent="0.25">
      <c r="A219" s="14" t="s">
        <v>7</v>
      </c>
      <c r="B219" s="15">
        <v>0</v>
      </c>
      <c r="C219" s="15">
        <v>0</v>
      </c>
      <c r="D219" s="15">
        <v>0</v>
      </c>
      <c r="E219" s="15">
        <v>0</v>
      </c>
      <c r="F219" s="15">
        <v>15</v>
      </c>
      <c r="G219" s="15">
        <v>15</v>
      </c>
      <c r="H219" s="15">
        <v>15</v>
      </c>
      <c r="I219" s="15">
        <v>20</v>
      </c>
      <c r="J219" s="15">
        <v>20</v>
      </c>
      <c r="K219" s="16">
        <v>20</v>
      </c>
      <c r="L219" s="15">
        <v>23.333333333333332</v>
      </c>
      <c r="M219" s="15">
        <v>30</v>
      </c>
      <c r="N219" s="25"/>
      <c r="O219" s="15"/>
      <c r="P219" s="21"/>
      <c r="Q219" s="24"/>
      <c r="R219" s="24"/>
      <c r="S219" s="24"/>
      <c r="T219" s="25"/>
      <c r="U219" s="25"/>
      <c r="V219" s="25"/>
      <c r="W219" s="25"/>
    </row>
    <row r="220" spans="1:23" ht="15.75" customHeight="1" x14ac:dyDescent="0.25">
      <c r="A220" s="20" t="s">
        <v>4</v>
      </c>
      <c r="B220" s="21">
        <v>0</v>
      </c>
      <c r="C220" s="21">
        <v>0</v>
      </c>
      <c r="D220" s="21">
        <v>0</v>
      </c>
      <c r="E220" s="21">
        <v>0</v>
      </c>
      <c r="F220" s="21">
        <v>143822</v>
      </c>
      <c r="G220" s="21">
        <v>74152</v>
      </c>
      <c r="H220" s="21">
        <v>305369.25</v>
      </c>
      <c r="I220" s="21">
        <v>363027</v>
      </c>
      <c r="J220" s="21">
        <v>484833</v>
      </c>
      <c r="K220" s="22">
        <v>451546</v>
      </c>
      <c r="L220" s="21">
        <v>482081</v>
      </c>
      <c r="M220" s="21">
        <v>513595</v>
      </c>
      <c r="N220" s="25"/>
      <c r="O220" s="21">
        <f>SUM(B220:M220)</f>
        <v>2818425.25</v>
      </c>
      <c r="P220" s="21">
        <f t="shared" si="14"/>
        <v>69381013.439999998</v>
      </c>
      <c r="Q220" s="24">
        <v>66562588.189999998</v>
      </c>
      <c r="R220" s="24"/>
      <c r="S220" s="24"/>
      <c r="T220" s="25"/>
      <c r="U220" s="25"/>
      <c r="V220" s="25"/>
      <c r="W220" s="25"/>
    </row>
    <row r="221" spans="1:23" ht="15.75" customHeight="1" x14ac:dyDescent="0.25">
      <c r="A221" s="20" t="s">
        <v>5</v>
      </c>
      <c r="B221" s="21">
        <v>0</v>
      </c>
      <c r="C221" s="21">
        <v>0</v>
      </c>
      <c r="D221" s="21">
        <v>0</v>
      </c>
      <c r="E221" s="21">
        <v>0</v>
      </c>
      <c r="F221" s="21">
        <v>20135.079999999998</v>
      </c>
      <c r="G221" s="21">
        <v>10381.279999999999</v>
      </c>
      <c r="H221" s="21">
        <v>42751.7</v>
      </c>
      <c r="I221" s="21">
        <v>50823.78</v>
      </c>
      <c r="J221" s="21">
        <v>67876.62000000001</v>
      </c>
      <c r="K221" s="22">
        <v>63216.439999999995</v>
      </c>
      <c r="L221" s="21">
        <v>67491.34</v>
      </c>
      <c r="M221" s="21">
        <v>71903.299999999988</v>
      </c>
      <c r="N221" s="25"/>
      <c r="O221" s="21">
        <f>SUM(B221:M221)</f>
        <v>394579.54</v>
      </c>
      <c r="P221" s="21">
        <f t="shared" si="14"/>
        <v>9160928.3199999984</v>
      </c>
      <c r="Q221" s="24">
        <v>8766348.7799999993</v>
      </c>
      <c r="R221" s="24"/>
      <c r="S221" s="24"/>
      <c r="T221" s="25"/>
      <c r="U221" s="25"/>
      <c r="V221" s="25"/>
      <c r="W221" s="25"/>
    </row>
    <row r="222" spans="1:23" ht="15.75" customHeight="1" x14ac:dyDescent="0.25">
      <c r="A222" s="20" t="s">
        <v>6</v>
      </c>
      <c r="B222" s="21">
        <v>0</v>
      </c>
      <c r="C222" s="21">
        <v>0</v>
      </c>
      <c r="D222" s="21">
        <v>0</v>
      </c>
      <c r="E222" s="21">
        <v>0</v>
      </c>
      <c r="F222" s="21">
        <v>2876.4400000000005</v>
      </c>
      <c r="G222" s="21">
        <v>1483.04</v>
      </c>
      <c r="H222" s="21">
        <v>6107.39</v>
      </c>
      <c r="I222" s="21">
        <v>7260.5400000000009</v>
      </c>
      <c r="J222" s="21">
        <v>9696.66</v>
      </c>
      <c r="K222" s="22">
        <v>9030.92</v>
      </c>
      <c r="L222" s="21">
        <v>9641.6200000000008</v>
      </c>
      <c r="M222" s="21">
        <v>10271.900000000001</v>
      </c>
      <c r="N222" s="25"/>
      <c r="O222" s="21">
        <f>SUM(B222:M222)</f>
        <v>56368.510000000009</v>
      </c>
      <c r="P222" s="21">
        <f t="shared" si="14"/>
        <v>1387620.27</v>
      </c>
      <c r="Q222" s="24">
        <v>1331251.76</v>
      </c>
      <c r="R222" s="24"/>
      <c r="S222" s="24"/>
      <c r="T222" s="25"/>
      <c r="U222" s="25"/>
      <c r="V222" s="25"/>
      <c r="W222" s="25"/>
    </row>
    <row r="223" spans="1:23" ht="15.75" customHeight="1" x14ac:dyDescent="0.25">
      <c r="A223" s="14" t="s">
        <v>8</v>
      </c>
      <c r="B223" s="15">
        <v>100</v>
      </c>
      <c r="C223" s="15">
        <v>100</v>
      </c>
      <c r="D223" s="15">
        <v>100</v>
      </c>
      <c r="E223" s="15">
        <v>95.2</v>
      </c>
      <c r="F223" s="15">
        <v>88</v>
      </c>
      <c r="G223" s="15">
        <v>88</v>
      </c>
      <c r="H223" s="15">
        <v>88</v>
      </c>
      <c r="I223" s="15">
        <v>88</v>
      </c>
      <c r="J223" s="15">
        <v>88</v>
      </c>
      <c r="K223" s="16">
        <v>88</v>
      </c>
      <c r="L223" s="15">
        <v>88</v>
      </c>
      <c r="M223" s="15">
        <v>88</v>
      </c>
      <c r="N223" s="25"/>
      <c r="O223" s="15"/>
      <c r="P223" s="21"/>
      <c r="Q223" s="24"/>
      <c r="R223" s="24"/>
      <c r="S223" s="24"/>
      <c r="T223" s="25"/>
      <c r="U223" s="25"/>
      <c r="V223" s="25"/>
      <c r="W223" s="25"/>
    </row>
    <row r="224" spans="1:23" ht="15.75" customHeight="1" x14ac:dyDescent="0.25">
      <c r="A224" s="20" t="s">
        <v>4</v>
      </c>
      <c r="B224" s="21">
        <v>3708458.5</v>
      </c>
      <c r="C224" s="21">
        <v>5206329.1399999997</v>
      </c>
      <c r="D224" s="21">
        <v>4948236.25</v>
      </c>
      <c r="E224" s="21">
        <v>5624566.6099999994</v>
      </c>
      <c r="F224" s="21">
        <v>3578876.8600000003</v>
      </c>
      <c r="G224" s="21">
        <v>954142.15999999992</v>
      </c>
      <c r="H224" s="21">
        <v>4083761.65</v>
      </c>
      <c r="I224" s="21">
        <v>4226611.6099999994</v>
      </c>
      <c r="J224" s="21">
        <v>5784687.96</v>
      </c>
      <c r="K224" s="22">
        <v>5573879.8499999996</v>
      </c>
      <c r="L224" s="21">
        <v>5345716.1100000003</v>
      </c>
      <c r="M224" s="21">
        <v>6611090.25</v>
      </c>
      <c r="N224" s="25"/>
      <c r="O224" s="21">
        <f t="shared" ref="O224:O234" si="15">SUM(B224:M224)</f>
        <v>55646356.949999996</v>
      </c>
      <c r="P224" s="21">
        <f t="shared" si="14"/>
        <v>661242380.95714295</v>
      </c>
      <c r="Q224" s="24">
        <v>605596024.0071429</v>
      </c>
      <c r="R224" s="24"/>
      <c r="S224" s="24"/>
      <c r="T224" s="25"/>
      <c r="U224" s="25"/>
      <c r="V224" s="25"/>
      <c r="W224" s="25"/>
    </row>
    <row r="225" spans="1:23" ht="15.75" customHeight="1" x14ac:dyDescent="0.25">
      <c r="A225" s="20" t="s">
        <v>5</v>
      </c>
      <c r="B225" s="21">
        <v>519184.21</v>
      </c>
      <c r="C225" s="21">
        <v>728886.09</v>
      </c>
      <c r="D225" s="21">
        <v>692753.08</v>
      </c>
      <c r="E225" s="21">
        <v>787439.33000000007</v>
      </c>
      <c r="F225" s="21">
        <v>501042.76999999996</v>
      </c>
      <c r="G225" s="21">
        <v>133579.91</v>
      </c>
      <c r="H225" s="21">
        <v>571726.64</v>
      </c>
      <c r="I225" s="21">
        <v>591725.64</v>
      </c>
      <c r="J225" s="21">
        <v>809856.32000000007</v>
      </c>
      <c r="K225" s="22">
        <v>780343.19000000006</v>
      </c>
      <c r="L225" s="21">
        <v>748400.27</v>
      </c>
      <c r="M225" s="21">
        <v>925552.64999999991</v>
      </c>
      <c r="N225" s="25"/>
      <c r="O225" s="21">
        <f t="shared" si="15"/>
        <v>7790490.1000000015</v>
      </c>
      <c r="P225" s="21">
        <f t="shared" si="14"/>
        <v>87471976.01000002</v>
      </c>
      <c r="Q225" s="24">
        <v>79681485.910000011</v>
      </c>
      <c r="R225" s="24"/>
      <c r="S225" s="24"/>
      <c r="T225" s="25"/>
      <c r="U225" s="25"/>
      <c r="V225" s="25"/>
      <c r="W225" s="25"/>
    </row>
    <row r="226" spans="1:23" ht="15.75" customHeight="1" x14ac:dyDescent="0.25">
      <c r="A226" s="20" t="s">
        <v>6</v>
      </c>
      <c r="B226" s="21">
        <v>74169.19</v>
      </c>
      <c r="C226" s="21">
        <v>104126.59</v>
      </c>
      <c r="D226" s="21">
        <v>98964.73</v>
      </c>
      <c r="E226" s="21">
        <v>112491.34000000001</v>
      </c>
      <c r="F226" s="21">
        <v>71577.55</v>
      </c>
      <c r="G226" s="21">
        <v>19082.849999999999</v>
      </c>
      <c r="H226" s="21">
        <v>81675.240000000005</v>
      </c>
      <c r="I226" s="21">
        <v>84532.25</v>
      </c>
      <c r="J226" s="21">
        <v>115693.75999999999</v>
      </c>
      <c r="K226" s="22">
        <v>111477.61000000002</v>
      </c>
      <c r="L226" s="21">
        <v>106914.34</v>
      </c>
      <c r="M226" s="21">
        <v>132221.82</v>
      </c>
      <c r="N226" s="25"/>
      <c r="O226" s="21">
        <f t="shared" si="15"/>
        <v>1112927.27</v>
      </c>
      <c r="P226" s="21">
        <f t="shared" si="14"/>
        <v>13224848.35</v>
      </c>
      <c r="Q226" s="24">
        <v>12111921.08</v>
      </c>
      <c r="R226" s="24"/>
      <c r="S226" s="24"/>
      <c r="T226" s="25"/>
      <c r="U226" s="25"/>
      <c r="V226" s="25"/>
      <c r="W226" s="25"/>
    </row>
    <row r="227" spans="1:23" ht="15.75" customHeight="1" x14ac:dyDescent="0.25">
      <c r="A227" s="14" t="s">
        <v>9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6">
        <v>0</v>
      </c>
      <c r="L227" s="15">
        <v>0</v>
      </c>
      <c r="M227" s="15">
        <v>0</v>
      </c>
      <c r="N227" s="25"/>
      <c r="O227" s="15"/>
      <c r="P227" s="21"/>
      <c r="Q227" s="24"/>
      <c r="R227" s="24"/>
      <c r="S227" s="24"/>
      <c r="T227" s="25"/>
      <c r="U227" s="25"/>
      <c r="V227" s="25"/>
      <c r="W227" s="25"/>
    </row>
    <row r="228" spans="1:23" ht="15.75" customHeight="1" x14ac:dyDescent="0.25">
      <c r="A228" s="20" t="s">
        <v>4</v>
      </c>
      <c r="B228" s="21">
        <v>0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2">
        <v>0</v>
      </c>
      <c r="L228" s="21">
        <v>0</v>
      </c>
      <c r="M228" s="21">
        <v>0</v>
      </c>
      <c r="N228" s="25"/>
      <c r="O228" s="21">
        <f t="shared" si="15"/>
        <v>0</v>
      </c>
      <c r="P228" s="21">
        <f t="shared" si="14"/>
        <v>1872340</v>
      </c>
      <c r="Q228" s="24">
        <v>1872340</v>
      </c>
      <c r="R228" s="24"/>
      <c r="S228" s="24"/>
      <c r="T228" s="25"/>
      <c r="U228" s="25"/>
      <c r="V228" s="25"/>
      <c r="W228" s="25"/>
    </row>
    <row r="229" spans="1:23" ht="15.75" customHeight="1" x14ac:dyDescent="0.25">
      <c r="A229" s="20" t="s">
        <v>5</v>
      </c>
      <c r="B229" s="21">
        <v>0</v>
      </c>
      <c r="C229" s="21">
        <v>0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1">
        <v>0</v>
      </c>
      <c r="J229" s="21">
        <v>0</v>
      </c>
      <c r="K229" s="22">
        <v>0</v>
      </c>
      <c r="L229" s="21">
        <v>0</v>
      </c>
      <c r="M229" s="21">
        <v>0</v>
      </c>
      <c r="N229" s="25"/>
      <c r="O229" s="21">
        <f t="shared" si="15"/>
        <v>0</v>
      </c>
      <c r="P229" s="21">
        <f t="shared" si="14"/>
        <v>262127.6</v>
      </c>
      <c r="Q229" s="24">
        <v>262127.6</v>
      </c>
      <c r="R229" s="24"/>
      <c r="S229" s="24"/>
      <c r="T229" s="25"/>
      <c r="U229" s="25"/>
      <c r="V229" s="25"/>
      <c r="W229" s="25"/>
    </row>
    <row r="230" spans="1:23" ht="15.75" customHeight="1" x14ac:dyDescent="0.25">
      <c r="A230" s="20" t="s">
        <v>6</v>
      </c>
      <c r="B230" s="21">
        <v>0</v>
      </c>
      <c r="C230" s="21">
        <v>0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1">
        <v>0</v>
      </c>
      <c r="J230" s="21">
        <v>0</v>
      </c>
      <c r="K230" s="22">
        <v>0</v>
      </c>
      <c r="L230" s="21">
        <v>0</v>
      </c>
      <c r="M230" s="21">
        <v>0</v>
      </c>
      <c r="N230" s="25"/>
      <c r="O230" s="21">
        <f t="shared" si="15"/>
        <v>0</v>
      </c>
      <c r="P230" s="21">
        <f t="shared" si="14"/>
        <v>37446.799999999996</v>
      </c>
      <c r="Q230" s="24">
        <v>37446.799999999996</v>
      </c>
      <c r="R230" s="24"/>
      <c r="S230" s="24"/>
      <c r="T230" s="25"/>
      <c r="U230" s="25"/>
      <c r="V230" s="25"/>
      <c r="W230" s="25"/>
    </row>
    <row r="231" spans="1:23" ht="15.75" customHeight="1" x14ac:dyDescent="0.25">
      <c r="A231" s="14" t="s">
        <v>10</v>
      </c>
      <c r="B231" s="15">
        <v>0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6">
        <v>0</v>
      </c>
      <c r="L231" s="15">
        <v>0</v>
      </c>
      <c r="M231" s="15">
        <v>0</v>
      </c>
      <c r="N231" s="25"/>
      <c r="O231" s="15"/>
      <c r="P231" s="21"/>
      <c r="Q231" s="24"/>
      <c r="R231" s="24"/>
      <c r="S231" s="24"/>
      <c r="T231" s="25"/>
      <c r="U231" s="25"/>
      <c r="V231" s="25"/>
      <c r="W231" s="25"/>
    </row>
    <row r="232" spans="1:23" ht="15.75" customHeight="1" x14ac:dyDescent="0.25">
      <c r="A232" s="20" t="s">
        <v>4</v>
      </c>
      <c r="B232" s="21">
        <v>0</v>
      </c>
      <c r="C232" s="21">
        <v>0</v>
      </c>
      <c r="D232" s="21">
        <v>0</v>
      </c>
      <c r="E232" s="21">
        <v>0</v>
      </c>
      <c r="F232" s="21">
        <v>0</v>
      </c>
      <c r="G232" s="21">
        <v>0</v>
      </c>
      <c r="H232" s="21">
        <v>0</v>
      </c>
      <c r="I232" s="21">
        <v>0</v>
      </c>
      <c r="J232" s="21">
        <v>0</v>
      </c>
      <c r="K232" s="22">
        <v>0</v>
      </c>
      <c r="L232" s="21">
        <v>0</v>
      </c>
      <c r="M232" s="21">
        <v>0</v>
      </c>
      <c r="N232" s="25"/>
      <c r="O232" s="21">
        <f t="shared" si="15"/>
        <v>0</v>
      </c>
      <c r="P232" s="21">
        <f t="shared" si="14"/>
        <v>0</v>
      </c>
      <c r="Q232" s="24">
        <v>0</v>
      </c>
      <c r="R232" s="24"/>
      <c r="S232" s="24"/>
      <c r="T232" s="25"/>
      <c r="U232" s="25"/>
      <c r="V232" s="25"/>
      <c r="W232" s="25"/>
    </row>
    <row r="233" spans="1:23" ht="15.75" customHeight="1" x14ac:dyDescent="0.25">
      <c r="A233" s="20" t="s">
        <v>5</v>
      </c>
      <c r="B233" s="21">
        <v>0</v>
      </c>
      <c r="C233" s="21">
        <v>0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0</v>
      </c>
      <c r="K233" s="22">
        <v>0</v>
      </c>
      <c r="L233" s="21">
        <v>0</v>
      </c>
      <c r="M233" s="21">
        <v>0</v>
      </c>
      <c r="N233" s="25"/>
      <c r="O233" s="21">
        <f t="shared" si="15"/>
        <v>0</v>
      </c>
      <c r="P233" s="21">
        <f t="shared" si="14"/>
        <v>0</v>
      </c>
      <c r="Q233" s="24">
        <v>0</v>
      </c>
      <c r="R233" s="24"/>
      <c r="S233" s="24"/>
      <c r="T233" s="25"/>
      <c r="U233" s="25"/>
      <c r="V233" s="25"/>
      <c r="W233" s="25"/>
    </row>
    <row r="234" spans="1:23" ht="15.75" customHeight="1" x14ac:dyDescent="0.25">
      <c r="A234" s="20" t="s">
        <v>6</v>
      </c>
      <c r="B234" s="21">
        <v>0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2">
        <v>0</v>
      </c>
      <c r="L234" s="21">
        <v>0</v>
      </c>
      <c r="M234" s="21">
        <v>0</v>
      </c>
      <c r="N234" s="25"/>
      <c r="O234" s="21">
        <f t="shared" si="15"/>
        <v>0</v>
      </c>
      <c r="P234" s="21">
        <f t="shared" si="14"/>
        <v>0</v>
      </c>
      <c r="Q234" s="24">
        <v>0</v>
      </c>
      <c r="R234" s="24"/>
      <c r="S234" s="24"/>
      <c r="T234" s="25"/>
      <c r="U234" s="25"/>
      <c r="V234" s="25"/>
      <c r="W234" s="25"/>
    </row>
    <row r="235" spans="1:23" ht="15.75" customHeight="1" x14ac:dyDescent="0.25">
      <c r="A235" s="31" t="s">
        <v>11</v>
      </c>
      <c r="B235" s="15">
        <v>11</v>
      </c>
      <c r="C235" s="15">
        <v>11</v>
      </c>
      <c r="D235" s="15">
        <v>11</v>
      </c>
      <c r="E235" s="15">
        <v>11</v>
      </c>
      <c r="F235" s="15">
        <v>11</v>
      </c>
      <c r="G235" s="15">
        <v>11</v>
      </c>
      <c r="H235" s="15">
        <v>11</v>
      </c>
      <c r="I235" s="15">
        <v>11</v>
      </c>
      <c r="J235" s="15">
        <v>11</v>
      </c>
      <c r="K235" s="15">
        <v>11</v>
      </c>
      <c r="L235" s="15">
        <v>11</v>
      </c>
      <c r="M235" s="15">
        <v>11</v>
      </c>
      <c r="N235" s="25"/>
      <c r="O235" s="21"/>
      <c r="P235" s="21"/>
      <c r="Q235" s="24"/>
      <c r="R235" s="24"/>
      <c r="S235" s="24"/>
      <c r="T235" s="25"/>
      <c r="U235" s="25"/>
      <c r="V235" s="25"/>
      <c r="W235" s="25"/>
    </row>
    <row r="236" spans="1:23" ht="15.75" customHeight="1" x14ac:dyDescent="0.25">
      <c r="A236" s="32" t="s">
        <v>4</v>
      </c>
      <c r="B236" s="21">
        <v>181271.10000000003</v>
      </c>
      <c r="C236" s="21">
        <v>231776.75</v>
      </c>
      <c r="D236" s="21">
        <v>250735.7</v>
      </c>
      <c r="E236" s="21">
        <v>321564.65000000002</v>
      </c>
      <c r="F236" s="21">
        <v>216105.8</v>
      </c>
      <c r="G236" s="21">
        <v>30514.35</v>
      </c>
      <c r="H236" s="21">
        <v>236008.89999999997</v>
      </c>
      <c r="I236" s="21">
        <v>229313.6</v>
      </c>
      <c r="J236" s="21">
        <v>389321.45</v>
      </c>
      <c r="K236" s="21">
        <v>347591.75</v>
      </c>
      <c r="L236" s="21">
        <v>392041.39999999997</v>
      </c>
      <c r="M236" s="21">
        <v>309703</v>
      </c>
      <c r="N236" s="25"/>
      <c r="O236" s="21">
        <f t="shared" ref="O236:O238" si="16">SUM(B236:M236)</f>
        <v>3135948.4499999997</v>
      </c>
      <c r="P236" s="21">
        <f t="shared" si="14"/>
        <v>15724826.6</v>
      </c>
      <c r="Q236" s="24">
        <v>12588878.15</v>
      </c>
      <c r="R236" s="24"/>
      <c r="S236" s="24"/>
      <c r="T236" s="25"/>
      <c r="U236" s="25"/>
      <c r="V236" s="25"/>
      <c r="W236" s="25"/>
    </row>
    <row r="237" spans="1:23" ht="15.75" customHeight="1" x14ac:dyDescent="0.25">
      <c r="A237" s="20" t="s">
        <v>5</v>
      </c>
      <c r="B237" s="21">
        <v>25377.95</v>
      </c>
      <c r="C237" s="21">
        <v>32448.75</v>
      </c>
      <c r="D237" s="21">
        <v>35103</v>
      </c>
      <c r="E237" s="21">
        <v>45019.05</v>
      </c>
      <c r="F237" s="21">
        <v>30254.82</v>
      </c>
      <c r="G237" s="21">
        <v>4272.01</v>
      </c>
      <c r="H237" s="21">
        <v>33041.25</v>
      </c>
      <c r="I237" s="21">
        <v>32103.909999999996</v>
      </c>
      <c r="J237" s="21">
        <v>54505.009999999995</v>
      </c>
      <c r="K237" s="21">
        <v>48662.840000000004</v>
      </c>
      <c r="L237" s="21">
        <v>54885.8</v>
      </c>
      <c r="M237" s="21">
        <v>43358.42</v>
      </c>
      <c r="N237" s="25"/>
      <c r="O237" s="21">
        <f t="shared" si="16"/>
        <v>439032.81</v>
      </c>
      <c r="P237" s="21">
        <f t="shared" si="14"/>
        <v>2201475.9099999997</v>
      </c>
      <c r="Q237" s="24">
        <v>1762443.0999999999</v>
      </c>
      <c r="R237" s="24"/>
      <c r="S237" s="24"/>
      <c r="T237" s="25"/>
      <c r="U237" s="25"/>
      <c r="V237" s="25"/>
      <c r="W237" s="25"/>
    </row>
    <row r="238" spans="1:23" ht="15.75" customHeight="1" x14ac:dyDescent="0.25">
      <c r="A238" s="32" t="s">
        <v>6</v>
      </c>
      <c r="B238" s="21">
        <v>3625.43</v>
      </c>
      <c r="C238" s="21">
        <v>4635.54</v>
      </c>
      <c r="D238" s="21">
        <v>5014.71</v>
      </c>
      <c r="E238" s="21">
        <v>6431.3</v>
      </c>
      <c r="F238" s="21">
        <v>4322.12</v>
      </c>
      <c r="G238" s="21">
        <v>610.29</v>
      </c>
      <c r="H238" s="21">
        <v>4720.1899999999996</v>
      </c>
      <c r="I238" s="21">
        <v>4586.2800000000007</v>
      </c>
      <c r="J238" s="21">
        <v>7786.420000000001</v>
      </c>
      <c r="K238" s="21">
        <v>6951.84</v>
      </c>
      <c r="L238" s="21">
        <v>7840.84</v>
      </c>
      <c r="M238" s="21">
        <v>6194.06</v>
      </c>
      <c r="N238" s="25"/>
      <c r="O238" s="21">
        <f t="shared" si="16"/>
        <v>62719.01999999999</v>
      </c>
      <c r="P238" s="21">
        <f t="shared" si="14"/>
        <v>314496.73</v>
      </c>
      <c r="Q238" s="24">
        <v>251777.70999999996</v>
      </c>
      <c r="R238" s="24"/>
      <c r="S238" s="24"/>
      <c r="T238" s="25"/>
      <c r="U238" s="25"/>
      <c r="V238" s="25"/>
      <c r="W238" s="25"/>
    </row>
    <row r="239" spans="1:23" ht="15.75" customHeight="1" x14ac:dyDescent="0.25">
      <c r="A239" s="20"/>
      <c r="B239" s="21"/>
      <c r="C239" s="21"/>
      <c r="D239" s="21"/>
      <c r="E239" s="21"/>
      <c r="F239" s="21"/>
      <c r="G239" s="21"/>
      <c r="H239" s="25"/>
      <c r="I239" s="21"/>
      <c r="J239" s="21"/>
      <c r="K239" s="22"/>
      <c r="L239" s="21"/>
      <c r="M239" s="21"/>
      <c r="N239" s="25"/>
      <c r="O239" s="21"/>
      <c r="P239" s="21"/>
      <c r="Q239" s="24"/>
      <c r="R239" s="24"/>
      <c r="S239" s="24"/>
      <c r="T239" s="25"/>
      <c r="U239" s="25"/>
      <c r="V239" s="25"/>
      <c r="W239" s="25"/>
    </row>
    <row r="240" spans="1:23" ht="15.75" customHeight="1" x14ac:dyDescent="0.25">
      <c r="A240" s="12" t="s">
        <v>42</v>
      </c>
      <c r="B240" s="15"/>
      <c r="C240" s="15"/>
      <c r="D240" s="15"/>
      <c r="E240" s="15"/>
      <c r="F240" s="15"/>
      <c r="G240" s="15"/>
      <c r="H240" s="25"/>
      <c r="I240" s="15"/>
      <c r="J240" s="15"/>
      <c r="K240" s="16"/>
      <c r="L240" s="15"/>
      <c r="M240" s="15"/>
      <c r="N240" s="25"/>
      <c r="O240" s="15"/>
      <c r="P240" s="21"/>
      <c r="Q240" s="24"/>
      <c r="R240" s="24"/>
      <c r="S240" s="24"/>
      <c r="T240" s="25"/>
      <c r="U240" s="25"/>
      <c r="V240" s="25"/>
      <c r="W240" s="25"/>
    </row>
    <row r="241" spans="1:23" ht="15.75" customHeight="1" x14ac:dyDescent="0.25">
      <c r="A241" s="14" t="s">
        <v>3</v>
      </c>
      <c r="B241" s="15">
        <v>147</v>
      </c>
      <c r="C241" s="40">
        <v>147</v>
      </c>
      <c r="D241" s="15">
        <v>147</v>
      </c>
      <c r="E241" s="15">
        <v>147</v>
      </c>
      <c r="F241" s="15">
        <v>147</v>
      </c>
      <c r="G241" s="15">
        <v>147</v>
      </c>
      <c r="H241" s="15">
        <v>147</v>
      </c>
      <c r="I241" s="15">
        <v>142</v>
      </c>
      <c r="J241" s="15">
        <v>137</v>
      </c>
      <c r="K241" s="16">
        <v>137</v>
      </c>
      <c r="L241" s="15">
        <v>137</v>
      </c>
      <c r="M241" s="15">
        <v>137</v>
      </c>
      <c r="N241" s="25"/>
      <c r="O241" s="15"/>
      <c r="P241" s="21"/>
      <c r="Q241" s="24"/>
      <c r="R241" s="24"/>
      <c r="S241" s="24"/>
      <c r="T241" s="25"/>
      <c r="U241" s="25"/>
      <c r="V241" s="25"/>
      <c r="W241" s="25"/>
    </row>
    <row r="242" spans="1:23" ht="15.75" customHeight="1" x14ac:dyDescent="0.25">
      <c r="A242" s="20" t="s">
        <v>4</v>
      </c>
      <c r="B242" s="21">
        <v>2991801.92</v>
      </c>
      <c r="C242" s="21">
        <v>9221735.4000000004</v>
      </c>
      <c r="D242" s="21">
        <v>8865624.5899999999</v>
      </c>
      <c r="E242" s="21">
        <v>9393842.2899999991</v>
      </c>
      <c r="F242" s="21">
        <v>6166425.4200000009</v>
      </c>
      <c r="G242" s="21">
        <v>0</v>
      </c>
      <c r="H242" s="21">
        <v>5781774.3700000001</v>
      </c>
      <c r="I242" s="21">
        <v>6338479.8899999997</v>
      </c>
      <c r="J242" s="21">
        <v>8872943.8300000001</v>
      </c>
      <c r="K242" s="22">
        <v>8837388.6399999987</v>
      </c>
      <c r="L242" s="21">
        <v>8567197.0299999993</v>
      </c>
      <c r="M242" s="21">
        <v>8266640.8600000003</v>
      </c>
      <c r="N242" s="25"/>
      <c r="O242" s="21">
        <f>SUM(B242:M242)</f>
        <v>83303854.239999995</v>
      </c>
      <c r="P242" s="21">
        <f t="shared" si="14"/>
        <v>1048793573.5700002</v>
      </c>
      <c r="Q242" s="24">
        <v>965489719.33000016</v>
      </c>
      <c r="R242" s="24"/>
      <c r="S242" s="24"/>
      <c r="T242" s="25"/>
      <c r="U242" s="25"/>
      <c r="V242" s="25"/>
      <c r="W242" s="25"/>
    </row>
    <row r="243" spans="1:23" ht="15.75" customHeight="1" x14ac:dyDescent="0.25">
      <c r="A243" s="20" t="s">
        <v>5</v>
      </c>
      <c r="B243" s="21">
        <v>418852.27</v>
      </c>
      <c r="C243" s="21">
        <v>1291042.98</v>
      </c>
      <c r="D243" s="21">
        <v>1241187.45</v>
      </c>
      <c r="E243" s="21">
        <v>1315137.94</v>
      </c>
      <c r="F243" s="21">
        <v>863299.57</v>
      </c>
      <c r="G243" s="21">
        <v>0</v>
      </c>
      <c r="H243" s="21">
        <v>809448.43</v>
      </c>
      <c r="I243" s="21">
        <v>887387.17999999993</v>
      </c>
      <c r="J243" s="21">
        <v>1242212.1400000001</v>
      </c>
      <c r="K243" s="22">
        <v>1237234.4200000002</v>
      </c>
      <c r="L243" s="21">
        <v>1199407.5900000001</v>
      </c>
      <c r="M243" s="21">
        <v>1157329.7200000002</v>
      </c>
      <c r="N243" s="25"/>
      <c r="O243" s="21">
        <f>SUM(B243:M243)</f>
        <v>11662539.690000001</v>
      </c>
      <c r="P243" s="21">
        <f t="shared" si="14"/>
        <v>141361020.29000002</v>
      </c>
      <c r="Q243" s="24">
        <v>129698480.60000001</v>
      </c>
      <c r="R243" s="24"/>
      <c r="S243" s="24"/>
      <c r="T243" s="25"/>
      <c r="U243" s="25"/>
      <c r="V243" s="25"/>
      <c r="W243" s="25"/>
    </row>
    <row r="244" spans="1:23" ht="15.75" customHeight="1" x14ac:dyDescent="0.25">
      <c r="A244" s="20" t="s">
        <v>6</v>
      </c>
      <c r="B244" s="21">
        <v>59836.049999999996</v>
      </c>
      <c r="C244" s="21">
        <v>184434.72999999998</v>
      </c>
      <c r="D244" s="21">
        <v>177312.49000000002</v>
      </c>
      <c r="E244" s="21">
        <v>187876.84999999998</v>
      </c>
      <c r="F244" s="21">
        <v>123328.51</v>
      </c>
      <c r="G244" s="21">
        <v>0</v>
      </c>
      <c r="H244" s="21">
        <v>115635.49000000002</v>
      </c>
      <c r="I244" s="21">
        <v>126769.59</v>
      </c>
      <c r="J244" s="21">
        <v>177458.89</v>
      </c>
      <c r="K244" s="22">
        <v>176747.77</v>
      </c>
      <c r="L244" s="21">
        <v>171343.94999999998</v>
      </c>
      <c r="M244" s="21">
        <v>165332.81999999998</v>
      </c>
      <c r="N244" s="25"/>
      <c r="O244" s="21">
        <f>SUM(B244:M244)</f>
        <v>1666077.1400000001</v>
      </c>
      <c r="P244" s="21">
        <f t="shared" si="14"/>
        <v>20975872.630000003</v>
      </c>
      <c r="Q244" s="24">
        <v>19309795.490000002</v>
      </c>
      <c r="R244" s="24"/>
      <c r="S244" s="24"/>
      <c r="T244" s="25"/>
      <c r="U244" s="25"/>
      <c r="V244" s="25"/>
      <c r="W244" s="25"/>
    </row>
    <row r="245" spans="1:23" ht="15.75" customHeight="1" x14ac:dyDescent="0.25">
      <c r="A245" s="14" t="s">
        <v>7</v>
      </c>
      <c r="B245" s="15">
        <v>28</v>
      </c>
      <c r="C245" s="15">
        <v>28</v>
      </c>
      <c r="D245" s="15">
        <v>28</v>
      </c>
      <c r="E245" s="15">
        <v>28</v>
      </c>
      <c r="F245" s="15">
        <v>28</v>
      </c>
      <c r="G245" s="15">
        <v>28</v>
      </c>
      <c r="H245" s="15">
        <v>28</v>
      </c>
      <c r="I245" s="15">
        <v>21</v>
      </c>
      <c r="J245" s="15">
        <v>14</v>
      </c>
      <c r="K245" s="16">
        <v>14</v>
      </c>
      <c r="L245" s="15">
        <v>14</v>
      </c>
      <c r="M245" s="15">
        <v>14</v>
      </c>
      <c r="N245" s="25"/>
      <c r="O245" s="15"/>
      <c r="P245" s="21"/>
      <c r="Q245" s="24"/>
      <c r="R245" s="24"/>
      <c r="S245" s="24"/>
      <c r="T245" s="25"/>
      <c r="U245" s="25"/>
      <c r="V245" s="25"/>
      <c r="W245" s="25"/>
    </row>
    <row r="246" spans="1:23" ht="15.75" customHeight="1" x14ac:dyDescent="0.25">
      <c r="A246" s="20" t="s">
        <v>4</v>
      </c>
      <c r="B246" s="21">
        <v>0</v>
      </c>
      <c r="C246" s="21">
        <v>0</v>
      </c>
      <c r="D246" s="21">
        <v>0</v>
      </c>
      <c r="E246" s="21">
        <v>128272</v>
      </c>
      <c r="F246" s="21">
        <v>383872</v>
      </c>
      <c r="G246" s="21">
        <v>0</v>
      </c>
      <c r="H246" s="21">
        <v>363335</v>
      </c>
      <c r="I246" s="21">
        <v>416971</v>
      </c>
      <c r="J246" s="21">
        <v>560582</v>
      </c>
      <c r="K246" s="22">
        <v>590504</v>
      </c>
      <c r="L246" s="21">
        <v>584443</v>
      </c>
      <c r="M246" s="21">
        <v>578768</v>
      </c>
      <c r="N246" s="25"/>
      <c r="O246" s="21">
        <f>SUM(B246:M246)</f>
        <v>3606747</v>
      </c>
      <c r="P246" s="21">
        <f t="shared" si="14"/>
        <v>44769507</v>
      </c>
      <c r="Q246" s="24">
        <v>41162760</v>
      </c>
      <c r="R246" s="24"/>
      <c r="S246" s="24"/>
      <c r="T246" s="25"/>
      <c r="U246" s="25"/>
      <c r="V246" s="25"/>
      <c r="W246" s="25"/>
    </row>
    <row r="247" spans="1:23" ht="15.75" customHeight="1" x14ac:dyDescent="0.25">
      <c r="A247" s="20" t="s">
        <v>5</v>
      </c>
      <c r="B247" s="21">
        <v>0</v>
      </c>
      <c r="C247" s="21">
        <v>0</v>
      </c>
      <c r="D247" s="21">
        <v>0</v>
      </c>
      <c r="E247" s="21">
        <v>17958.080000000002</v>
      </c>
      <c r="F247" s="21">
        <v>53742.080000000002</v>
      </c>
      <c r="G247" s="21">
        <v>0</v>
      </c>
      <c r="H247" s="21">
        <v>50866.899999999994</v>
      </c>
      <c r="I247" s="21">
        <v>58375.94</v>
      </c>
      <c r="J247" s="21">
        <v>78481.48000000001</v>
      </c>
      <c r="K247" s="22">
        <v>82670.559999999998</v>
      </c>
      <c r="L247" s="21">
        <v>81822.02</v>
      </c>
      <c r="M247" s="21">
        <v>81027.51999999999</v>
      </c>
      <c r="N247" s="25"/>
      <c r="O247" s="21">
        <f>SUM(B247:M247)</f>
        <v>504944.58000000007</v>
      </c>
      <c r="P247" s="21">
        <f t="shared" si="14"/>
        <v>6034333.1399999997</v>
      </c>
      <c r="Q247" s="24">
        <v>5529388.5599999996</v>
      </c>
      <c r="R247" s="24"/>
      <c r="S247" s="24"/>
      <c r="T247" s="25"/>
      <c r="U247" s="25"/>
      <c r="V247" s="25"/>
      <c r="W247" s="25"/>
    </row>
    <row r="248" spans="1:23" ht="15.75" customHeight="1" x14ac:dyDescent="0.25">
      <c r="A248" s="20" t="s">
        <v>6</v>
      </c>
      <c r="B248" s="21">
        <v>0</v>
      </c>
      <c r="C248" s="21">
        <v>0</v>
      </c>
      <c r="D248" s="21">
        <v>0</v>
      </c>
      <c r="E248" s="21">
        <v>2565.44</v>
      </c>
      <c r="F248" s="21">
        <v>7677.4399999999987</v>
      </c>
      <c r="G248" s="21">
        <v>0</v>
      </c>
      <c r="H248" s="21">
        <v>7266.6999999999989</v>
      </c>
      <c r="I248" s="21">
        <v>8339.42</v>
      </c>
      <c r="J248" s="21">
        <v>11211.64</v>
      </c>
      <c r="K248" s="22">
        <v>11810.08</v>
      </c>
      <c r="L248" s="21">
        <v>11688.859999999999</v>
      </c>
      <c r="M248" s="21">
        <v>11575.36</v>
      </c>
      <c r="N248" s="25"/>
      <c r="O248" s="21">
        <f>SUM(B248:M248)</f>
        <v>72134.94</v>
      </c>
      <c r="P248" s="21">
        <f t="shared" si="14"/>
        <v>895390.1399999999</v>
      </c>
      <c r="Q248" s="24">
        <v>823255.2</v>
      </c>
      <c r="R248" s="24"/>
      <c r="S248" s="24"/>
      <c r="T248" s="25"/>
      <c r="U248" s="25"/>
      <c r="V248" s="25"/>
      <c r="W248" s="25"/>
    </row>
    <row r="249" spans="1:23" ht="15.75" customHeight="1" x14ac:dyDescent="0.25">
      <c r="A249" s="14" t="s">
        <v>8</v>
      </c>
      <c r="B249" s="15">
        <v>106</v>
      </c>
      <c r="C249" s="15">
        <v>106</v>
      </c>
      <c r="D249" s="15">
        <v>106</v>
      </c>
      <c r="E249" s="15">
        <v>106</v>
      </c>
      <c r="F249" s="15">
        <v>106</v>
      </c>
      <c r="G249" s="15">
        <v>106</v>
      </c>
      <c r="H249" s="15">
        <v>106</v>
      </c>
      <c r="I249" s="15">
        <v>108</v>
      </c>
      <c r="J249" s="15">
        <v>110</v>
      </c>
      <c r="K249" s="16">
        <v>110</v>
      </c>
      <c r="L249" s="15">
        <v>110</v>
      </c>
      <c r="M249" s="15">
        <v>110</v>
      </c>
      <c r="N249" s="25"/>
      <c r="O249" s="15"/>
      <c r="P249" s="21"/>
      <c r="Q249" s="24"/>
      <c r="R249" s="24"/>
      <c r="S249" s="24"/>
      <c r="T249" s="25"/>
      <c r="U249" s="25"/>
      <c r="V249" s="25"/>
      <c r="W249" s="25"/>
    </row>
    <row r="250" spans="1:23" ht="15.75" customHeight="1" x14ac:dyDescent="0.25">
      <c r="A250" s="20" t="s">
        <v>4</v>
      </c>
      <c r="B250" s="21">
        <v>2776047.25</v>
      </c>
      <c r="C250" s="21">
        <v>8529482.5</v>
      </c>
      <c r="D250" s="21">
        <v>8221267.25</v>
      </c>
      <c r="E250" s="21">
        <v>8710394.25</v>
      </c>
      <c r="F250" s="21">
        <v>5514361</v>
      </c>
      <c r="G250" s="21">
        <v>0</v>
      </c>
      <c r="H250" s="21">
        <v>5130008</v>
      </c>
      <c r="I250" s="21">
        <v>5620400</v>
      </c>
      <c r="J250" s="21">
        <v>7812396</v>
      </c>
      <c r="K250" s="22">
        <v>7774024.7999999998</v>
      </c>
      <c r="L250" s="21">
        <v>7593342.75</v>
      </c>
      <c r="M250" s="21">
        <v>7410580.75</v>
      </c>
      <c r="N250" s="25"/>
      <c r="O250" s="21">
        <f t="shared" ref="O250:O257" si="17">SUM(B250:M250)</f>
        <v>75092304.549999997</v>
      </c>
      <c r="P250" s="21">
        <f t="shared" si="14"/>
        <v>974734488.53999984</v>
      </c>
      <c r="Q250" s="24">
        <v>899642183.98999989</v>
      </c>
      <c r="R250" s="24"/>
      <c r="S250" s="24"/>
      <c r="T250" s="25"/>
      <c r="U250" s="25"/>
      <c r="V250" s="25"/>
      <c r="W250" s="25"/>
    </row>
    <row r="251" spans="1:23" ht="15.75" customHeight="1" x14ac:dyDescent="0.25">
      <c r="A251" s="20" t="s">
        <v>5</v>
      </c>
      <c r="B251" s="21">
        <v>388646.62</v>
      </c>
      <c r="C251" s="21">
        <v>1194127.5699999998</v>
      </c>
      <c r="D251" s="21">
        <v>1150977.42</v>
      </c>
      <c r="E251" s="21">
        <v>1219455.21</v>
      </c>
      <c r="F251" s="21">
        <v>772010.53999999992</v>
      </c>
      <c r="G251" s="21">
        <v>0</v>
      </c>
      <c r="H251" s="21">
        <v>718201.12999999989</v>
      </c>
      <c r="I251" s="21">
        <v>786855.99999999988</v>
      </c>
      <c r="J251" s="21">
        <v>1093735.45</v>
      </c>
      <c r="K251" s="22">
        <v>1088363.48</v>
      </c>
      <c r="L251" s="21">
        <v>1063067.99</v>
      </c>
      <c r="M251" s="21">
        <v>1037481.3099999999</v>
      </c>
      <c r="N251" s="25"/>
      <c r="O251" s="21">
        <f t="shared" si="17"/>
        <v>10512922.720000001</v>
      </c>
      <c r="P251" s="21">
        <f t="shared" si="14"/>
        <v>129545089.5</v>
      </c>
      <c r="Q251" s="24">
        <v>119032166.78</v>
      </c>
      <c r="R251" s="24"/>
      <c r="S251" s="24"/>
      <c r="T251" s="25"/>
      <c r="U251" s="25"/>
      <c r="V251" s="25"/>
      <c r="W251" s="25"/>
    </row>
    <row r="252" spans="1:23" ht="15.75" customHeight="1" x14ac:dyDescent="0.25">
      <c r="A252" s="20" t="s">
        <v>6</v>
      </c>
      <c r="B252" s="21">
        <v>55520.95</v>
      </c>
      <c r="C252" s="21">
        <v>170589.66999999998</v>
      </c>
      <c r="D252" s="21">
        <v>164425.34999999998</v>
      </c>
      <c r="E252" s="21">
        <v>174207.9</v>
      </c>
      <c r="F252" s="21">
        <v>110287.22</v>
      </c>
      <c r="G252" s="21">
        <v>0</v>
      </c>
      <c r="H252" s="21">
        <v>102600.17000000001</v>
      </c>
      <c r="I252" s="21">
        <v>112408</v>
      </c>
      <c r="J252" s="21">
        <v>156247.92999999996</v>
      </c>
      <c r="K252" s="22">
        <v>155480.5</v>
      </c>
      <c r="L252" s="21">
        <v>151866.85999999999</v>
      </c>
      <c r="M252" s="21">
        <v>148211.62</v>
      </c>
      <c r="N252" s="25"/>
      <c r="O252" s="21">
        <f t="shared" si="17"/>
        <v>1501846.17</v>
      </c>
      <c r="P252" s="21">
        <f t="shared" si="14"/>
        <v>19494690.920000002</v>
      </c>
      <c r="Q252" s="24">
        <v>17992844.75</v>
      </c>
      <c r="R252" s="24"/>
      <c r="S252" s="24"/>
      <c r="T252" s="25"/>
      <c r="U252" s="25"/>
      <c r="V252" s="25"/>
      <c r="W252" s="25"/>
    </row>
    <row r="253" spans="1:23" ht="15.75" customHeight="1" x14ac:dyDescent="0.25">
      <c r="A253" s="14" t="s">
        <v>9</v>
      </c>
      <c r="B253" s="15">
        <v>0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6">
        <v>0</v>
      </c>
      <c r="L253" s="16">
        <v>0</v>
      </c>
      <c r="M253" s="16">
        <v>0</v>
      </c>
      <c r="N253" s="25"/>
      <c r="O253" s="15"/>
      <c r="P253" s="21"/>
      <c r="Q253" s="24"/>
      <c r="R253" s="24"/>
      <c r="S253" s="24"/>
      <c r="T253" s="25"/>
      <c r="U253" s="25"/>
      <c r="V253" s="25"/>
      <c r="W253" s="25"/>
    </row>
    <row r="254" spans="1:23" ht="15.75" customHeight="1" x14ac:dyDescent="0.25">
      <c r="A254" s="20" t="s">
        <v>4</v>
      </c>
      <c r="B254" s="21">
        <v>0</v>
      </c>
      <c r="C254" s="21">
        <v>0</v>
      </c>
      <c r="D254" s="21">
        <v>0</v>
      </c>
      <c r="E254" s="21">
        <v>0</v>
      </c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2">
        <v>0</v>
      </c>
      <c r="L254" s="21">
        <v>0</v>
      </c>
      <c r="M254" s="21">
        <v>0</v>
      </c>
      <c r="N254" s="25"/>
      <c r="O254" s="21">
        <f t="shared" si="17"/>
        <v>0</v>
      </c>
      <c r="P254" s="21">
        <f t="shared" si="14"/>
        <v>0</v>
      </c>
      <c r="Q254" s="24">
        <v>0</v>
      </c>
      <c r="R254" s="24"/>
      <c r="S254" s="24"/>
      <c r="T254" s="25"/>
      <c r="U254" s="25"/>
      <c r="V254" s="25"/>
      <c r="W254" s="25"/>
    </row>
    <row r="255" spans="1:23" ht="15.75" customHeight="1" x14ac:dyDescent="0.25">
      <c r="A255" s="20" t="s">
        <v>5</v>
      </c>
      <c r="B255" s="21">
        <v>0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2">
        <v>0</v>
      </c>
      <c r="L255" s="21">
        <v>0</v>
      </c>
      <c r="M255" s="21">
        <v>0</v>
      </c>
      <c r="N255" s="25"/>
      <c r="O255" s="21">
        <f t="shared" si="17"/>
        <v>0</v>
      </c>
      <c r="P255" s="21">
        <f t="shared" si="14"/>
        <v>0</v>
      </c>
      <c r="Q255" s="24">
        <v>0</v>
      </c>
      <c r="R255" s="24"/>
      <c r="S255" s="24"/>
      <c r="T255" s="25"/>
      <c r="U255" s="25"/>
      <c r="V255" s="25"/>
      <c r="W255" s="25"/>
    </row>
    <row r="256" spans="1:23" ht="15.75" customHeight="1" x14ac:dyDescent="0.25">
      <c r="A256" s="20" t="s">
        <v>6</v>
      </c>
      <c r="B256" s="21">
        <v>0</v>
      </c>
      <c r="C256" s="21">
        <v>0</v>
      </c>
      <c r="D256" s="21">
        <v>0</v>
      </c>
      <c r="E256" s="21">
        <v>0</v>
      </c>
      <c r="F256" s="21">
        <v>0</v>
      </c>
      <c r="G256" s="21">
        <v>0</v>
      </c>
      <c r="H256" s="21">
        <v>0</v>
      </c>
      <c r="I256" s="21">
        <v>0</v>
      </c>
      <c r="J256" s="21">
        <v>0</v>
      </c>
      <c r="K256" s="22">
        <v>0</v>
      </c>
      <c r="L256" s="21">
        <v>0</v>
      </c>
      <c r="M256" s="21">
        <v>0</v>
      </c>
      <c r="N256" s="25"/>
      <c r="O256" s="21">
        <f t="shared" si="17"/>
        <v>0</v>
      </c>
      <c r="P256" s="21">
        <f t="shared" si="14"/>
        <v>0</v>
      </c>
      <c r="Q256" s="24">
        <v>0</v>
      </c>
      <c r="R256" s="24"/>
      <c r="S256" s="24"/>
      <c r="T256" s="25"/>
      <c r="U256" s="25"/>
      <c r="V256" s="25"/>
      <c r="W256" s="25"/>
    </row>
    <row r="257" spans="1:23" ht="15.75" customHeight="1" x14ac:dyDescent="0.25">
      <c r="A257" s="14" t="s">
        <v>10</v>
      </c>
      <c r="B257" s="15">
        <v>0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6">
        <v>0</v>
      </c>
      <c r="L257" s="15">
        <v>0</v>
      </c>
      <c r="M257" s="15">
        <v>0</v>
      </c>
      <c r="N257" s="25"/>
      <c r="O257" s="15"/>
      <c r="P257" s="21"/>
      <c r="Q257" s="24"/>
      <c r="R257" s="24"/>
      <c r="S257" s="24"/>
      <c r="T257" s="25"/>
      <c r="U257" s="25"/>
      <c r="V257" s="25"/>
      <c r="W257" s="25"/>
    </row>
    <row r="258" spans="1:23" ht="15.75" customHeight="1" x14ac:dyDescent="0.25">
      <c r="A258" s="20" t="s">
        <v>4</v>
      </c>
      <c r="B258" s="21">
        <v>0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2">
        <v>0</v>
      </c>
      <c r="L258" s="21">
        <v>0</v>
      </c>
      <c r="M258" s="21">
        <v>0</v>
      </c>
      <c r="N258" s="25"/>
      <c r="O258" s="21">
        <f t="shared" ref="O258:O264" si="18">SUM(B258:M258)</f>
        <v>0</v>
      </c>
      <c r="P258" s="21">
        <f t="shared" si="14"/>
        <v>5197397</v>
      </c>
      <c r="Q258" s="24">
        <v>5197397</v>
      </c>
      <c r="R258" s="24"/>
      <c r="S258" s="24"/>
      <c r="T258" s="25"/>
      <c r="U258" s="25"/>
      <c r="V258" s="25"/>
      <c r="W258" s="25"/>
    </row>
    <row r="259" spans="1:23" ht="15.75" customHeight="1" x14ac:dyDescent="0.25">
      <c r="A259" s="20" t="s">
        <v>5</v>
      </c>
      <c r="B259" s="21">
        <v>0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2">
        <v>0</v>
      </c>
      <c r="L259" s="21">
        <v>0</v>
      </c>
      <c r="M259" s="21">
        <v>0</v>
      </c>
      <c r="N259" s="25"/>
      <c r="O259" s="21">
        <f t="shared" si="18"/>
        <v>0</v>
      </c>
      <c r="P259" s="21">
        <f t="shared" si="14"/>
        <v>2408692.2999999998</v>
      </c>
      <c r="Q259" s="24">
        <v>2408692.2999999998</v>
      </c>
      <c r="R259" s="24"/>
      <c r="S259" s="24"/>
      <c r="T259" s="25"/>
      <c r="U259" s="25"/>
      <c r="V259" s="25"/>
      <c r="W259" s="25"/>
    </row>
    <row r="260" spans="1:23" ht="15.75" customHeight="1" x14ac:dyDescent="0.25">
      <c r="A260" s="20" t="s">
        <v>6</v>
      </c>
      <c r="B260" s="21">
        <v>0</v>
      </c>
      <c r="C260" s="21">
        <v>0</v>
      </c>
      <c r="D260" s="21">
        <v>0</v>
      </c>
      <c r="E260" s="21">
        <v>0</v>
      </c>
      <c r="F260" s="21">
        <v>0</v>
      </c>
      <c r="G260" s="21">
        <v>0</v>
      </c>
      <c r="H260" s="21">
        <v>0</v>
      </c>
      <c r="I260" s="21">
        <v>0</v>
      </c>
      <c r="J260" s="21">
        <v>0</v>
      </c>
      <c r="K260" s="22">
        <v>0</v>
      </c>
      <c r="L260" s="21">
        <v>0</v>
      </c>
      <c r="M260" s="21">
        <v>0</v>
      </c>
      <c r="N260" s="25"/>
      <c r="O260" s="21">
        <f t="shared" si="18"/>
        <v>0</v>
      </c>
      <c r="P260" s="21">
        <f t="shared" si="14"/>
        <v>103947.94</v>
      </c>
      <c r="Q260" s="24">
        <v>103947.94</v>
      </c>
      <c r="R260" s="24"/>
      <c r="S260" s="24"/>
      <c r="T260" s="25"/>
      <c r="U260" s="25"/>
      <c r="V260" s="25"/>
      <c r="W260" s="25"/>
    </row>
    <row r="261" spans="1:23" ht="15.75" customHeight="1" x14ac:dyDescent="0.25">
      <c r="A261" s="31" t="s">
        <v>11</v>
      </c>
      <c r="B261" s="15">
        <v>13</v>
      </c>
      <c r="C261" s="15">
        <v>13</v>
      </c>
      <c r="D261" s="15">
        <v>13</v>
      </c>
      <c r="E261" s="15">
        <v>13</v>
      </c>
      <c r="F261" s="15">
        <v>13</v>
      </c>
      <c r="G261" s="15">
        <v>13</v>
      </c>
      <c r="H261" s="15">
        <v>13</v>
      </c>
      <c r="I261" s="15">
        <v>13</v>
      </c>
      <c r="J261" s="15">
        <v>13</v>
      </c>
      <c r="K261" s="16">
        <v>13</v>
      </c>
      <c r="L261" s="16">
        <v>13</v>
      </c>
      <c r="M261" s="16">
        <v>13</v>
      </c>
      <c r="N261" s="25"/>
      <c r="O261" s="21"/>
      <c r="P261" s="21"/>
      <c r="Q261" s="24"/>
      <c r="R261" s="24"/>
      <c r="S261" s="24"/>
      <c r="T261" s="25"/>
      <c r="U261" s="25"/>
      <c r="V261" s="25"/>
      <c r="W261" s="25"/>
    </row>
    <row r="262" spans="1:23" ht="15.75" customHeight="1" x14ac:dyDescent="0.25">
      <c r="A262" s="32" t="s">
        <v>4</v>
      </c>
      <c r="B262" s="21">
        <v>215754.66999999998</v>
      </c>
      <c r="C262" s="21">
        <v>692252.9</v>
      </c>
      <c r="D262" s="21">
        <v>644357.34000000008</v>
      </c>
      <c r="E262" s="21">
        <v>555176.04</v>
      </c>
      <c r="F262" s="21">
        <v>268192.42</v>
      </c>
      <c r="G262" s="21">
        <v>0</v>
      </c>
      <c r="H262" s="21">
        <v>288431.37</v>
      </c>
      <c r="I262" s="21">
        <v>301108.89</v>
      </c>
      <c r="J262" s="21">
        <v>499965.83</v>
      </c>
      <c r="K262" s="22">
        <v>472859.83999999997</v>
      </c>
      <c r="L262" s="21">
        <v>389411.27999999997</v>
      </c>
      <c r="M262" s="21">
        <v>277292.11</v>
      </c>
      <c r="N262" s="25"/>
      <c r="O262" s="21">
        <f t="shared" si="18"/>
        <v>4604802.6900000004</v>
      </c>
      <c r="P262" s="21">
        <f t="shared" si="14"/>
        <v>24092181.030000005</v>
      </c>
      <c r="Q262" s="24">
        <v>19487378.340000004</v>
      </c>
      <c r="R262" s="24"/>
      <c r="S262" s="24"/>
      <c r="T262" s="25"/>
      <c r="U262" s="25"/>
      <c r="V262" s="25"/>
      <c r="W262" s="25"/>
    </row>
    <row r="263" spans="1:23" ht="15.75" customHeight="1" x14ac:dyDescent="0.25">
      <c r="A263" s="20" t="s">
        <v>5</v>
      </c>
      <c r="B263" s="21">
        <v>30205.65</v>
      </c>
      <c r="C263" s="21">
        <v>96915.41</v>
      </c>
      <c r="D263" s="21">
        <v>90210.030000000013</v>
      </c>
      <c r="E263" s="21">
        <v>77724.649999999994</v>
      </c>
      <c r="F263" s="21">
        <v>37546.949999999997</v>
      </c>
      <c r="G263" s="21">
        <v>0</v>
      </c>
      <c r="H263" s="21">
        <v>40380.399999999994</v>
      </c>
      <c r="I263" s="21">
        <v>42155.24</v>
      </c>
      <c r="J263" s="21">
        <v>69995.210000000006</v>
      </c>
      <c r="K263" s="22">
        <v>66200.38</v>
      </c>
      <c r="L263" s="21">
        <v>54517.58</v>
      </c>
      <c r="M263" s="21">
        <v>38820.89</v>
      </c>
      <c r="N263" s="25"/>
      <c r="O263" s="21">
        <f t="shared" si="18"/>
        <v>644672.3899999999</v>
      </c>
      <c r="P263" s="21">
        <f t="shared" si="14"/>
        <v>3372905.3499999996</v>
      </c>
      <c r="Q263" s="24">
        <v>2728232.96</v>
      </c>
      <c r="R263" s="24"/>
      <c r="S263" s="24"/>
      <c r="T263" s="25"/>
      <c r="U263" s="25"/>
      <c r="V263" s="25"/>
      <c r="W263" s="25"/>
    </row>
    <row r="264" spans="1:23" ht="15.75" customHeight="1" x14ac:dyDescent="0.25">
      <c r="A264" s="32" t="s">
        <v>6</v>
      </c>
      <c r="B264" s="21">
        <v>4315.1000000000004</v>
      </c>
      <c r="C264" s="21">
        <v>13845.060000000001</v>
      </c>
      <c r="D264" s="21">
        <v>12887.14</v>
      </c>
      <c r="E264" s="21">
        <v>11103.510000000002</v>
      </c>
      <c r="F264" s="21">
        <v>5363.85</v>
      </c>
      <c r="G264" s="21">
        <v>0</v>
      </c>
      <c r="H264" s="21">
        <v>5768.62</v>
      </c>
      <c r="I264" s="21">
        <v>6022.17</v>
      </c>
      <c r="J264" s="21">
        <v>9999.32</v>
      </c>
      <c r="K264" s="22">
        <v>9457.1899999999987</v>
      </c>
      <c r="L264" s="21">
        <v>7788.23</v>
      </c>
      <c r="M264" s="21">
        <v>5545.84</v>
      </c>
      <c r="N264" s="25"/>
      <c r="O264" s="21">
        <f t="shared" si="18"/>
        <v>92096.03</v>
      </c>
      <c r="P264" s="21">
        <f t="shared" si="14"/>
        <v>481843.64</v>
      </c>
      <c r="Q264" s="24">
        <v>389747.61</v>
      </c>
      <c r="R264" s="24"/>
      <c r="S264" s="24"/>
      <c r="T264" s="25"/>
      <c r="U264" s="25"/>
      <c r="V264" s="25"/>
      <c r="W264" s="25"/>
    </row>
    <row r="265" spans="1:23" ht="15.75" customHeight="1" x14ac:dyDescent="0.25">
      <c r="B265" s="33"/>
      <c r="C265" s="21"/>
      <c r="D265" s="21"/>
      <c r="E265" s="33"/>
      <c r="F265" s="33"/>
      <c r="G265" s="55"/>
      <c r="H265" s="25"/>
      <c r="I265" s="33"/>
      <c r="J265" s="33"/>
      <c r="K265" s="34"/>
      <c r="L265" s="21"/>
      <c r="M265" s="21"/>
      <c r="N265" s="25"/>
      <c r="O265" s="33"/>
      <c r="P265" s="21"/>
      <c r="Q265" s="24"/>
      <c r="R265" s="24"/>
      <c r="S265" s="24"/>
      <c r="T265" s="25"/>
      <c r="U265" s="25"/>
      <c r="V265" s="25"/>
      <c r="W265" s="25"/>
    </row>
    <row r="266" spans="1:23" ht="15.75" customHeight="1" x14ac:dyDescent="0.25">
      <c r="A266" s="12" t="s">
        <v>46</v>
      </c>
      <c r="B266" s="33"/>
      <c r="C266" s="21"/>
      <c r="D266" s="21"/>
      <c r="E266" s="33"/>
      <c r="F266" s="33"/>
      <c r="G266" s="55"/>
      <c r="H266" s="25"/>
      <c r="I266" s="33"/>
      <c r="J266" s="33"/>
      <c r="K266" s="34"/>
      <c r="L266" s="21"/>
      <c r="M266" s="21"/>
      <c r="N266" s="25"/>
      <c r="O266" s="33"/>
      <c r="P266" s="21"/>
      <c r="Q266" s="24"/>
      <c r="R266" s="24"/>
      <c r="S266" s="24"/>
      <c r="T266" s="25"/>
      <c r="U266" s="25"/>
      <c r="V266" s="25"/>
      <c r="W266" s="25"/>
    </row>
    <row r="267" spans="1:23" ht="15.75" customHeight="1" x14ac:dyDescent="0.25">
      <c r="A267" s="14" t="s">
        <v>3</v>
      </c>
      <c r="B267" s="15">
        <v>49</v>
      </c>
      <c r="C267" s="40">
        <v>49</v>
      </c>
      <c r="D267" s="15">
        <v>49</v>
      </c>
      <c r="E267" s="15">
        <v>49</v>
      </c>
      <c r="F267" s="15">
        <v>49</v>
      </c>
      <c r="G267" s="15">
        <v>49</v>
      </c>
      <c r="H267" s="15">
        <v>49</v>
      </c>
      <c r="I267" s="15">
        <v>49</v>
      </c>
      <c r="J267" s="15">
        <v>49.2</v>
      </c>
      <c r="K267" s="16">
        <v>50</v>
      </c>
      <c r="L267" s="15">
        <v>50</v>
      </c>
      <c r="M267" s="15">
        <v>50</v>
      </c>
      <c r="N267" s="25"/>
      <c r="O267" s="15"/>
      <c r="P267" s="21"/>
      <c r="Q267" s="24"/>
      <c r="R267" s="24"/>
      <c r="S267" s="24"/>
      <c r="T267" s="25"/>
      <c r="U267" s="25"/>
      <c r="V267" s="25"/>
      <c r="W267" s="25"/>
    </row>
    <row r="268" spans="1:23" ht="15.75" customHeight="1" x14ac:dyDescent="0.25">
      <c r="A268" s="20" t="s">
        <v>4</v>
      </c>
      <c r="B268" s="21">
        <v>2309791.63</v>
      </c>
      <c r="C268" s="21">
        <v>3417918.06</v>
      </c>
      <c r="D268" s="21">
        <v>3391728.2199999997</v>
      </c>
      <c r="E268" s="21">
        <v>2719830.5300000003</v>
      </c>
      <c r="F268" s="21">
        <v>2812962.77</v>
      </c>
      <c r="G268" s="21">
        <v>1185273.5</v>
      </c>
      <c r="H268" s="21">
        <v>2889863.37</v>
      </c>
      <c r="I268" s="21">
        <v>2541609.73</v>
      </c>
      <c r="J268" s="21">
        <v>2567110.06</v>
      </c>
      <c r="K268" s="22">
        <v>2763558.9699999997</v>
      </c>
      <c r="L268" s="21">
        <v>3668675.8699999996</v>
      </c>
      <c r="M268" s="21">
        <v>3435267.01</v>
      </c>
      <c r="N268" s="25"/>
      <c r="O268" s="21">
        <f>SUM(B268:M268)</f>
        <v>33703589.719999999</v>
      </c>
      <c r="P268" s="21">
        <f t="shared" ref="P268:P382" si="19">O268+Q268</f>
        <v>312536549.31000006</v>
      </c>
      <c r="Q268" s="24">
        <v>278832959.59000003</v>
      </c>
      <c r="R268" s="24"/>
      <c r="S268" s="24"/>
      <c r="T268" s="25"/>
      <c r="U268" s="25"/>
      <c r="V268" s="25"/>
      <c r="W268" s="25"/>
    </row>
    <row r="269" spans="1:23" ht="15.75" customHeight="1" x14ac:dyDescent="0.25">
      <c r="A269" s="20" t="s">
        <v>5</v>
      </c>
      <c r="B269" s="21">
        <v>323370.83</v>
      </c>
      <c r="C269" s="21">
        <v>478508.54</v>
      </c>
      <c r="D269" s="21">
        <v>474841.96</v>
      </c>
      <c r="E269" s="21">
        <v>380776.28</v>
      </c>
      <c r="F269" s="21">
        <v>393814.81</v>
      </c>
      <c r="G269" s="21">
        <v>165938.29999999999</v>
      </c>
      <c r="H269" s="21">
        <v>404580.88</v>
      </c>
      <c r="I269" s="21">
        <v>355825.37</v>
      </c>
      <c r="J269" s="21">
        <v>359395.41000000003</v>
      </c>
      <c r="K269" s="22">
        <v>386898.25</v>
      </c>
      <c r="L269" s="21">
        <v>513614.63000000006</v>
      </c>
      <c r="M269" s="21">
        <v>480937.39</v>
      </c>
      <c r="N269" s="25"/>
      <c r="O269" s="21">
        <f>SUM(B269:M269)</f>
        <v>4718502.6500000004</v>
      </c>
      <c r="P269" s="21">
        <f t="shared" si="19"/>
        <v>42123483.280000001</v>
      </c>
      <c r="Q269" s="24">
        <v>37404980.630000003</v>
      </c>
      <c r="R269" s="24"/>
      <c r="S269" s="24"/>
      <c r="T269" s="25"/>
      <c r="U269" s="25"/>
      <c r="V269" s="25"/>
      <c r="W269" s="25"/>
    </row>
    <row r="270" spans="1:23" ht="15.75" customHeight="1" x14ac:dyDescent="0.25">
      <c r="A270" s="20" t="s">
        <v>6</v>
      </c>
      <c r="B270" s="21">
        <v>46195.829999999994</v>
      </c>
      <c r="C270" s="21">
        <v>68358.37</v>
      </c>
      <c r="D270" s="21">
        <v>67834.569999999992</v>
      </c>
      <c r="E270" s="21">
        <v>54396.619999999995</v>
      </c>
      <c r="F270" s="21">
        <v>56259.280000000006</v>
      </c>
      <c r="G270" s="21">
        <v>23705.48</v>
      </c>
      <c r="H270" s="21">
        <v>57797.279999999999</v>
      </c>
      <c r="I270" s="21">
        <v>50832.200000000004</v>
      </c>
      <c r="J270" s="21">
        <v>51342.2</v>
      </c>
      <c r="K270" s="22">
        <v>55271.18</v>
      </c>
      <c r="L270" s="21">
        <v>73373.540000000008</v>
      </c>
      <c r="M270" s="21">
        <v>68705.349999999991</v>
      </c>
      <c r="N270" s="25"/>
      <c r="O270" s="21">
        <f>SUM(B270:M270)</f>
        <v>674071.9</v>
      </c>
      <c r="P270" s="21">
        <f t="shared" si="19"/>
        <v>6250731.6200000001</v>
      </c>
      <c r="Q270" s="24">
        <v>5576659.7199999997</v>
      </c>
      <c r="R270" s="24"/>
      <c r="S270" s="24"/>
      <c r="T270" s="25"/>
      <c r="U270" s="25"/>
      <c r="V270" s="25"/>
      <c r="W270" s="25"/>
    </row>
    <row r="271" spans="1:23" ht="15.75" customHeight="1" x14ac:dyDescent="0.25">
      <c r="A271" s="14" t="s">
        <v>7</v>
      </c>
      <c r="B271" s="15">
        <v>0</v>
      </c>
      <c r="C271" s="15">
        <v>0</v>
      </c>
      <c r="D271" s="15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6">
        <v>0</v>
      </c>
      <c r="L271" s="16">
        <v>0</v>
      </c>
      <c r="M271" s="15">
        <v>0</v>
      </c>
      <c r="N271" s="25"/>
      <c r="O271" s="15"/>
      <c r="P271" s="21"/>
      <c r="Q271" s="24"/>
      <c r="R271" s="24"/>
      <c r="S271" s="24"/>
      <c r="T271" s="25"/>
      <c r="U271" s="25"/>
      <c r="V271" s="25"/>
      <c r="W271" s="25"/>
    </row>
    <row r="272" spans="1:23" ht="15.75" customHeight="1" x14ac:dyDescent="0.25">
      <c r="A272" s="20" t="s">
        <v>4</v>
      </c>
      <c r="B272" s="21">
        <v>0</v>
      </c>
      <c r="C272" s="21">
        <v>0</v>
      </c>
      <c r="D272" s="21">
        <v>0</v>
      </c>
      <c r="E272" s="21">
        <v>0</v>
      </c>
      <c r="F272" s="21">
        <v>0</v>
      </c>
      <c r="G272" s="21">
        <v>0</v>
      </c>
      <c r="H272" s="21">
        <v>0</v>
      </c>
      <c r="I272" s="21">
        <v>0</v>
      </c>
      <c r="J272" s="21">
        <v>0</v>
      </c>
      <c r="K272" s="22">
        <v>0</v>
      </c>
      <c r="L272" s="21">
        <v>0</v>
      </c>
      <c r="M272" s="21">
        <v>0</v>
      </c>
      <c r="N272" s="25"/>
      <c r="O272" s="21">
        <f>SUM(B272:M272)</f>
        <v>0</v>
      </c>
      <c r="P272" s="21">
        <f t="shared" si="19"/>
        <v>0</v>
      </c>
      <c r="Q272" s="24">
        <v>0</v>
      </c>
      <c r="R272" s="24"/>
      <c r="S272" s="24"/>
      <c r="T272" s="25"/>
      <c r="U272" s="25"/>
      <c r="V272" s="25"/>
      <c r="W272" s="25"/>
    </row>
    <row r="273" spans="1:23" ht="15.75" customHeight="1" x14ac:dyDescent="0.25">
      <c r="A273" s="20" t="s">
        <v>5</v>
      </c>
      <c r="B273" s="21">
        <v>0</v>
      </c>
      <c r="C273" s="21">
        <v>0</v>
      </c>
      <c r="D273" s="21">
        <v>0</v>
      </c>
      <c r="E273" s="21">
        <v>0</v>
      </c>
      <c r="F273" s="21">
        <v>0</v>
      </c>
      <c r="G273" s="21">
        <v>0</v>
      </c>
      <c r="H273" s="21">
        <v>0</v>
      </c>
      <c r="I273" s="21">
        <v>0</v>
      </c>
      <c r="J273" s="21">
        <v>0</v>
      </c>
      <c r="K273" s="22">
        <v>0</v>
      </c>
      <c r="L273" s="21">
        <v>0</v>
      </c>
      <c r="M273" s="21">
        <v>0</v>
      </c>
      <c r="N273" s="25"/>
      <c r="O273" s="21">
        <f>SUM(B273:M273)</f>
        <v>0</v>
      </c>
      <c r="P273" s="21">
        <f t="shared" si="19"/>
        <v>0</v>
      </c>
      <c r="Q273" s="24">
        <v>0</v>
      </c>
      <c r="R273" s="24"/>
      <c r="S273" s="24"/>
      <c r="T273" s="25"/>
      <c r="U273" s="25"/>
      <c r="V273" s="25"/>
      <c r="W273" s="25"/>
    </row>
    <row r="274" spans="1:23" ht="15.75" customHeight="1" x14ac:dyDescent="0.25">
      <c r="A274" s="20" t="s">
        <v>6</v>
      </c>
      <c r="B274" s="21">
        <v>0</v>
      </c>
      <c r="C274" s="21">
        <v>0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1">
        <v>0</v>
      </c>
      <c r="J274" s="21">
        <v>0</v>
      </c>
      <c r="K274" s="22">
        <v>0</v>
      </c>
      <c r="L274" s="21">
        <v>0</v>
      </c>
      <c r="M274" s="21">
        <v>0</v>
      </c>
      <c r="N274" s="25"/>
      <c r="O274" s="21">
        <f>SUM(B274:M274)</f>
        <v>0</v>
      </c>
      <c r="P274" s="21">
        <f t="shared" si="19"/>
        <v>0</v>
      </c>
      <c r="Q274" s="24">
        <v>0</v>
      </c>
      <c r="R274" s="24"/>
      <c r="S274" s="24"/>
      <c r="T274" s="25"/>
      <c r="U274" s="25"/>
      <c r="V274" s="25"/>
      <c r="W274" s="25"/>
    </row>
    <row r="275" spans="1:23" ht="15.75" customHeight="1" x14ac:dyDescent="0.25">
      <c r="A275" s="14" t="s">
        <v>8</v>
      </c>
      <c r="B275" s="15">
        <v>49</v>
      </c>
      <c r="C275" s="15">
        <v>49</v>
      </c>
      <c r="D275" s="15">
        <v>49</v>
      </c>
      <c r="E275" s="15">
        <v>49</v>
      </c>
      <c r="F275" s="15">
        <v>49</v>
      </c>
      <c r="G275" s="15">
        <v>49</v>
      </c>
      <c r="H275" s="15">
        <v>49</v>
      </c>
      <c r="I275" s="15">
        <v>49</v>
      </c>
      <c r="J275" s="15">
        <v>49.2</v>
      </c>
      <c r="K275" s="16">
        <v>50</v>
      </c>
      <c r="L275" s="15">
        <v>50</v>
      </c>
      <c r="M275" s="15">
        <v>50</v>
      </c>
      <c r="N275" s="25"/>
      <c r="O275" s="15"/>
      <c r="P275" s="21"/>
      <c r="Q275" s="24"/>
      <c r="R275" s="24"/>
      <c r="S275" s="24"/>
      <c r="T275" s="25"/>
      <c r="U275" s="25"/>
      <c r="V275" s="25"/>
      <c r="W275" s="25"/>
    </row>
    <row r="276" spans="1:23" ht="15.75" customHeight="1" x14ac:dyDescent="0.25">
      <c r="A276" s="20" t="s">
        <v>4</v>
      </c>
      <c r="B276" s="21">
        <v>2309791.63</v>
      </c>
      <c r="C276" s="21">
        <v>3417918.06</v>
      </c>
      <c r="D276" s="21">
        <v>3391728.2199999997</v>
      </c>
      <c r="E276" s="21">
        <v>2719830.5300000003</v>
      </c>
      <c r="F276" s="21">
        <v>2812962.77</v>
      </c>
      <c r="G276" s="21">
        <v>1185273.5</v>
      </c>
      <c r="H276" s="21">
        <v>2889863.37</v>
      </c>
      <c r="I276" s="21">
        <v>2541609.73</v>
      </c>
      <c r="J276" s="21">
        <v>2567110.06</v>
      </c>
      <c r="K276" s="22">
        <v>2763558.9699999997</v>
      </c>
      <c r="L276" s="21">
        <v>3668675.8699999996</v>
      </c>
      <c r="M276" s="21">
        <v>3435267.01</v>
      </c>
      <c r="N276" s="25"/>
      <c r="O276" s="21">
        <f t="shared" ref="O276:O287" si="20">SUM(B276:M276)</f>
        <v>33703589.719999999</v>
      </c>
      <c r="P276" s="21">
        <f t="shared" si="19"/>
        <v>312536549.31000006</v>
      </c>
      <c r="Q276" s="24">
        <v>278832959.59000003</v>
      </c>
      <c r="R276" s="24"/>
      <c r="S276" s="24"/>
      <c r="T276" s="25"/>
      <c r="U276" s="25"/>
      <c r="V276" s="25"/>
      <c r="W276" s="25"/>
    </row>
    <row r="277" spans="1:23" ht="15.75" customHeight="1" x14ac:dyDescent="0.25">
      <c r="A277" s="20" t="s">
        <v>5</v>
      </c>
      <c r="B277" s="21">
        <v>323370.83</v>
      </c>
      <c r="C277" s="21">
        <v>478508.54</v>
      </c>
      <c r="D277" s="21">
        <v>474841.96</v>
      </c>
      <c r="E277" s="21">
        <v>380776.28</v>
      </c>
      <c r="F277" s="21">
        <v>393814.81</v>
      </c>
      <c r="G277" s="21">
        <v>165938.29999999999</v>
      </c>
      <c r="H277" s="21">
        <v>404580.88</v>
      </c>
      <c r="I277" s="21">
        <v>355825.37</v>
      </c>
      <c r="J277" s="21">
        <v>359395.41000000003</v>
      </c>
      <c r="K277" s="22">
        <v>386898.25</v>
      </c>
      <c r="L277" s="21">
        <v>513614.63000000006</v>
      </c>
      <c r="M277" s="21">
        <v>480937.39</v>
      </c>
      <c r="N277" s="25"/>
      <c r="O277" s="21">
        <f t="shared" si="20"/>
        <v>4718502.6500000004</v>
      </c>
      <c r="P277" s="21">
        <f t="shared" si="19"/>
        <v>42123483.280000001</v>
      </c>
      <c r="Q277" s="24">
        <v>37404980.630000003</v>
      </c>
      <c r="R277" s="24"/>
      <c r="S277" s="24"/>
      <c r="T277" s="25"/>
      <c r="U277" s="25"/>
      <c r="V277" s="25"/>
      <c r="W277" s="25"/>
    </row>
    <row r="278" spans="1:23" ht="15.75" customHeight="1" x14ac:dyDescent="0.25">
      <c r="A278" s="20" t="s">
        <v>6</v>
      </c>
      <c r="B278" s="21">
        <v>46195.829999999994</v>
      </c>
      <c r="C278" s="21">
        <v>68358.37</v>
      </c>
      <c r="D278" s="21">
        <v>67834.569999999992</v>
      </c>
      <c r="E278" s="21">
        <v>54396.619999999995</v>
      </c>
      <c r="F278" s="21">
        <v>56259.280000000006</v>
      </c>
      <c r="G278" s="21">
        <v>23705.48</v>
      </c>
      <c r="H278" s="21">
        <v>57797.279999999999</v>
      </c>
      <c r="I278" s="21">
        <v>50832.200000000004</v>
      </c>
      <c r="J278" s="21">
        <v>51342.2</v>
      </c>
      <c r="K278" s="22">
        <v>55271.18</v>
      </c>
      <c r="L278" s="21">
        <v>73373.540000000008</v>
      </c>
      <c r="M278" s="21">
        <v>68705.349999999991</v>
      </c>
      <c r="N278" s="25"/>
      <c r="O278" s="21">
        <f t="shared" si="20"/>
        <v>674071.9</v>
      </c>
      <c r="P278" s="21">
        <f t="shared" si="19"/>
        <v>6250731.6200000001</v>
      </c>
      <c r="Q278" s="24">
        <v>5576659.7199999997</v>
      </c>
      <c r="R278" s="24"/>
      <c r="S278" s="24"/>
      <c r="T278" s="25"/>
      <c r="U278" s="25"/>
      <c r="V278" s="25"/>
      <c r="W278" s="25"/>
    </row>
    <row r="279" spans="1:23" ht="15.75" customHeight="1" x14ac:dyDescent="0.25">
      <c r="A279" s="14" t="s">
        <v>9</v>
      </c>
      <c r="B279" s="15">
        <v>0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6">
        <v>0</v>
      </c>
      <c r="L279" s="16">
        <v>0</v>
      </c>
      <c r="M279" s="15">
        <v>0</v>
      </c>
      <c r="N279" s="25"/>
      <c r="O279" s="15"/>
      <c r="P279" s="21"/>
      <c r="Q279" s="24"/>
      <c r="R279" s="24"/>
      <c r="S279" s="24"/>
      <c r="T279" s="25"/>
      <c r="U279" s="25"/>
      <c r="V279" s="25"/>
      <c r="W279" s="25"/>
    </row>
    <row r="280" spans="1:23" ht="15.75" customHeight="1" x14ac:dyDescent="0.25">
      <c r="A280" s="20" t="s">
        <v>4</v>
      </c>
      <c r="B280" s="21">
        <v>0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2">
        <v>0</v>
      </c>
      <c r="L280" s="21">
        <v>0</v>
      </c>
      <c r="M280" s="21">
        <v>0</v>
      </c>
      <c r="N280" s="25"/>
      <c r="O280" s="21">
        <f t="shared" si="20"/>
        <v>0</v>
      </c>
      <c r="P280" s="21">
        <f t="shared" si="19"/>
        <v>0</v>
      </c>
      <c r="Q280" s="24">
        <v>0</v>
      </c>
      <c r="R280" s="24"/>
      <c r="S280" s="24"/>
      <c r="T280" s="25"/>
      <c r="U280" s="25"/>
      <c r="V280" s="25"/>
      <c r="W280" s="25"/>
    </row>
    <row r="281" spans="1:23" ht="15.75" customHeight="1" x14ac:dyDescent="0.25">
      <c r="A281" s="20" t="s">
        <v>5</v>
      </c>
      <c r="B281" s="21">
        <v>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2">
        <v>0</v>
      </c>
      <c r="L281" s="21">
        <v>0</v>
      </c>
      <c r="M281" s="21">
        <v>0</v>
      </c>
      <c r="N281" s="25"/>
      <c r="O281" s="21">
        <f t="shared" si="20"/>
        <v>0</v>
      </c>
      <c r="P281" s="21">
        <f t="shared" si="19"/>
        <v>0</v>
      </c>
      <c r="Q281" s="24">
        <v>0</v>
      </c>
      <c r="R281" s="24"/>
      <c r="S281" s="24"/>
      <c r="T281" s="25"/>
      <c r="U281" s="25"/>
      <c r="V281" s="25"/>
      <c r="W281" s="25"/>
    </row>
    <row r="282" spans="1:23" ht="15.75" customHeight="1" x14ac:dyDescent="0.25">
      <c r="A282" s="20" t="s">
        <v>6</v>
      </c>
      <c r="B282" s="21">
        <v>0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2">
        <v>0</v>
      </c>
      <c r="L282" s="21">
        <v>0</v>
      </c>
      <c r="M282" s="21">
        <v>0</v>
      </c>
      <c r="N282" s="25"/>
      <c r="O282" s="21">
        <f t="shared" si="20"/>
        <v>0</v>
      </c>
      <c r="P282" s="21">
        <f t="shared" si="19"/>
        <v>0</v>
      </c>
      <c r="Q282" s="24">
        <v>0</v>
      </c>
      <c r="R282" s="24"/>
      <c r="S282" s="24"/>
      <c r="T282" s="25"/>
      <c r="U282" s="25"/>
      <c r="V282" s="25"/>
      <c r="W282" s="25"/>
    </row>
    <row r="283" spans="1:23" ht="15.75" customHeight="1" x14ac:dyDescent="0.25">
      <c r="A283" s="14" t="s">
        <v>10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6">
        <v>0</v>
      </c>
      <c r="L283" s="16">
        <v>0</v>
      </c>
      <c r="M283" s="15">
        <v>0</v>
      </c>
      <c r="N283" s="25"/>
      <c r="O283" s="15"/>
      <c r="P283" s="21"/>
      <c r="Q283" s="24"/>
      <c r="R283" s="24"/>
      <c r="S283" s="24"/>
      <c r="T283" s="25"/>
      <c r="U283" s="25"/>
      <c r="V283" s="25"/>
      <c r="W283" s="25"/>
    </row>
    <row r="284" spans="1:23" ht="15.75" customHeight="1" x14ac:dyDescent="0.25">
      <c r="A284" s="20" t="s">
        <v>4</v>
      </c>
      <c r="B284" s="21">
        <v>0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2">
        <v>0</v>
      </c>
      <c r="L284" s="21">
        <v>0</v>
      </c>
      <c r="M284" s="21">
        <v>0</v>
      </c>
      <c r="N284" s="25"/>
      <c r="O284" s="21">
        <f t="shared" si="20"/>
        <v>0</v>
      </c>
      <c r="P284" s="21">
        <f t="shared" si="19"/>
        <v>0</v>
      </c>
      <c r="Q284" s="24">
        <v>0</v>
      </c>
      <c r="R284" s="24"/>
      <c r="S284" s="24"/>
      <c r="T284" s="25"/>
      <c r="U284" s="25"/>
      <c r="V284" s="25"/>
      <c r="W284" s="25"/>
    </row>
    <row r="285" spans="1:23" ht="15.75" customHeight="1" x14ac:dyDescent="0.25">
      <c r="A285" s="20" t="s">
        <v>5</v>
      </c>
      <c r="B285" s="21">
        <v>0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2">
        <v>0</v>
      </c>
      <c r="L285" s="21">
        <v>0</v>
      </c>
      <c r="M285" s="21">
        <v>0</v>
      </c>
      <c r="N285" s="25"/>
      <c r="O285" s="21">
        <f t="shared" si="20"/>
        <v>0</v>
      </c>
      <c r="P285" s="21">
        <f t="shared" si="19"/>
        <v>0</v>
      </c>
      <c r="Q285" s="24">
        <v>0</v>
      </c>
      <c r="R285" s="24"/>
      <c r="S285" s="24"/>
      <c r="T285" s="25"/>
      <c r="U285" s="25"/>
      <c r="V285" s="25"/>
      <c r="W285" s="25"/>
    </row>
    <row r="286" spans="1:23" ht="15.75" customHeight="1" x14ac:dyDescent="0.25">
      <c r="A286" s="20" t="s">
        <v>6</v>
      </c>
      <c r="B286" s="21">
        <v>0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2">
        <v>0</v>
      </c>
      <c r="L286" s="21">
        <v>0</v>
      </c>
      <c r="M286" s="21">
        <v>0</v>
      </c>
      <c r="N286" s="25"/>
      <c r="O286" s="21">
        <f t="shared" si="20"/>
        <v>0</v>
      </c>
      <c r="P286" s="21">
        <f t="shared" si="19"/>
        <v>0</v>
      </c>
      <c r="Q286" s="24">
        <v>0</v>
      </c>
      <c r="R286" s="24"/>
      <c r="S286" s="24"/>
      <c r="T286" s="25"/>
      <c r="U286" s="25"/>
      <c r="V286" s="25"/>
      <c r="W286" s="25"/>
    </row>
    <row r="287" spans="1:23" ht="15.75" customHeight="1" x14ac:dyDescent="0.25">
      <c r="A287" s="31" t="s">
        <v>11</v>
      </c>
      <c r="B287" s="15">
        <v>0</v>
      </c>
      <c r="C287" s="15">
        <v>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25"/>
      <c r="O287" s="21"/>
      <c r="P287" s="21"/>
      <c r="Q287" s="24"/>
      <c r="R287" s="24"/>
      <c r="S287" s="24"/>
      <c r="T287" s="25"/>
      <c r="U287" s="25"/>
      <c r="V287" s="25"/>
      <c r="W287" s="25"/>
    </row>
    <row r="288" spans="1:23" ht="15.75" customHeight="1" x14ac:dyDescent="0.25">
      <c r="A288" s="32" t="s">
        <v>4</v>
      </c>
      <c r="B288" s="21">
        <v>0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5"/>
      <c r="O288" s="21">
        <f t="shared" ref="O288:O290" si="21">SUM(B288:M288)</f>
        <v>0</v>
      </c>
      <c r="P288" s="21">
        <f t="shared" si="19"/>
        <v>0</v>
      </c>
      <c r="Q288" s="24">
        <v>0</v>
      </c>
      <c r="R288" s="24"/>
      <c r="S288" s="24"/>
      <c r="T288" s="25"/>
      <c r="U288" s="25"/>
      <c r="V288" s="25"/>
      <c r="W288" s="25"/>
    </row>
    <row r="289" spans="1:23" ht="15.75" customHeight="1" x14ac:dyDescent="0.25">
      <c r="A289" s="20" t="s">
        <v>5</v>
      </c>
      <c r="B289" s="21">
        <v>0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5"/>
      <c r="O289" s="21">
        <f t="shared" si="21"/>
        <v>0</v>
      </c>
      <c r="P289" s="21">
        <f t="shared" si="19"/>
        <v>0</v>
      </c>
      <c r="Q289" s="24">
        <v>0</v>
      </c>
      <c r="R289" s="24"/>
      <c r="S289" s="24"/>
      <c r="T289" s="25"/>
      <c r="U289" s="25"/>
      <c r="V289" s="25"/>
      <c r="W289" s="25"/>
    </row>
    <row r="290" spans="1:23" ht="15.75" customHeight="1" x14ac:dyDescent="0.25">
      <c r="A290" s="32" t="s">
        <v>6</v>
      </c>
      <c r="B290" s="21">
        <v>0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5"/>
      <c r="O290" s="21">
        <f t="shared" si="21"/>
        <v>0</v>
      </c>
      <c r="P290" s="21">
        <f t="shared" si="19"/>
        <v>0</v>
      </c>
      <c r="Q290" s="24">
        <v>0</v>
      </c>
      <c r="R290" s="24"/>
      <c r="S290" s="24"/>
      <c r="T290" s="25"/>
      <c r="U290" s="25"/>
      <c r="V290" s="25"/>
      <c r="W290" s="25"/>
    </row>
    <row r="291" spans="1:23" ht="15.75" customHeight="1" x14ac:dyDescent="0.25">
      <c r="A291" s="20"/>
      <c r="B291" s="33"/>
      <c r="C291" s="39"/>
      <c r="D291" s="39"/>
      <c r="E291" s="39"/>
      <c r="F291" s="33"/>
      <c r="G291" s="55"/>
      <c r="H291" s="25"/>
      <c r="I291" s="33"/>
      <c r="J291" s="33"/>
      <c r="K291" s="34"/>
      <c r="L291" s="21"/>
      <c r="M291" s="21"/>
      <c r="N291" s="25"/>
      <c r="O291" s="33"/>
      <c r="P291" s="21"/>
      <c r="Q291" s="24"/>
      <c r="R291" s="24"/>
      <c r="S291" s="24"/>
      <c r="T291" s="25"/>
      <c r="U291" s="25"/>
      <c r="V291" s="25"/>
      <c r="W291" s="25"/>
    </row>
    <row r="292" spans="1:23" ht="15.75" customHeight="1" x14ac:dyDescent="0.25">
      <c r="A292" s="12" t="s">
        <v>19</v>
      </c>
      <c r="B292" s="33"/>
      <c r="C292" s="39"/>
      <c r="D292" s="39"/>
      <c r="E292" s="39"/>
      <c r="F292" s="33"/>
      <c r="G292" s="55"/>
      <c r="H292" s="25"/>
      <c r="I292" s="33"/>
      <c r="J292" s="33"/>
      <c r="K292" s="34"/>
      <c r="L292" s="21"/>
      <c r="M292" s="21"/>
      <c r="N292" s="25"/>
      <c r="O292" s="33"/>
      <c r="P292" s="21"/>
      <c r="Q292" s="24"/>
      <c r="R292" s="24"/>
      <c r="S292" s="24"/>
      <c r="T292" s="25"/>
      <c r="U292" s="25"/>
      <c r="V292" s="25"/>
      <c r="W292" s="25"/>
    </row>
    <row r="293" spans="1:23" ht="15.75" customHeight="1" x14ac:dyDescent="0.25">
      <c r="A293" s="14" t="s">
        <v>3</v>
      </c>
      <c r="B293" s="15">
        <v>27</v>
      </c>
      <c r="C293" s="40">
        <v>27</v>
      </c>
      <c r="D293" s="15">
        <v>27</v>
      </c>
      <c r="E293" s="15">
        <v>27</v>
      </c>
      <c r="F293" s="15">
        <v>27</v>
      </c>
      <c r="G293" s="15">
        <v>27</v>
      </c>
      <c r="H293" s="15">
        <v>27</v>
      </c>
      <c r="I293" s="15">
        <v>27</v>
      </c>
      <c r="J293" s="15">
        <v>27</v>
      </c>
      <c r="K293" s="16">
        <v>26</v>
      </c>
      <c r="L293" s="15">
        <v>26</v>
      </c>
      <c r="M293" s="15">
        <v>26</v>
      </c>
      <c r="N293" s="25"/>
      <c r="O293" s="15"/>
      <c r="P293" s="21"/>
      <c r="Q293" s="24"/>
      <c r="R293" s="24"/>
      <c r="S293" s="24"/>
      <c r="T293" s="25"/>
      <c r="U293" s="25"/>
      <c r="V293" s="25"/>
      <c r="W293" s="25"/>
    </row>
    <row r="294" spans="1:23" ht="15.75" customHeight="1" x14ac:dyDescent="0.25">
      <c r="A294" s="20" t="s">
        <v>4</v>
      </c>
      <c r="B294" s="21">
        <v>304937.77</v>
      </c>
      <c r="C294" s="21">
        <v>222047</v>
      </c>
      <c r="D294" s="21">
        <v>181655.52</v>
      </c>
      <c r="E294" s="21">
        <v>192461.5</v>
      </c>
      <c r="F294" s="21">
        <v>112242.13999999998</v>
      </c>
      <c r="G294" s="21">
        <v>67119</v>
      </c>
      <c r="H294" s="21">
        <v>117822.7</v>
      </c>
      <c r="I294" s="21">
        <v>314852.8</v>
      </c>
      <c r="J294" s="21">
        <v>132423.26</v>
      </c>
      <c r="K294" s="22">
        <v>270953.96999999997</v>
      </c>
      <c r="L294" s="21">
        <v>151625.66999999998</v>
      </c>
      <c r="M294" s="21">
        <v>175927.64</v>
      </c>
      <c r="N294" s="25"/>
      <c r="O294" s="21">
        <f>SUM(B294:M294)</f>
        <v>2244068.9700000002</v>
      </c>
      <c r="P294" s="21">
        <f t="shared" si="19"/>
        <v>32723291.909999996</v>
      </c>
      <c r="Q294" s="24">
        <v>30479222.939999998</v>
      </c>
      <c r="R294" s="24"/>
      <c r="S294" s="24"/>
      <c r="T294" s="25"/>
      <c r="U294" s="25"/>
      <c r="V294" s="25"/>
      <c r="W294" s="25"/>
    </row>
    <row r="295" spans="1:23" ht="15.75" customHeight="1" x14ac:dyDescent="0.25">
      <c r="A295" s="20" t="s">
        <v>5</v>
      </c>
      <c r="B295" s="21">
        <v>42691.29</v>
      </c>
      <c r="C295" s="21">
        <v>31086.58</v>
      </c>
      <c r="D295" s="21">
        <v>25431.77</v>
      </c>
      <c r="E295" s="21">
        <v>26944.610000000004</v>
      </c>
      <c r="F295" s="21">
        <v>15713.899999999998</v>
      </c>
      <c r="G295" s="21">
        <v>9396.66</v>
      </c>
      <c r="H295" s="21">
        <v>16495.18</v>
      </c>
      <c r="I295" s="21">
        <v>44079.39</v>
      </c>
      <c r="J295" s="21">
        <v>18539.249999999996</v>
      </c>
      <c r="K295" s="22">
        <v>37933.56</v>
      </c>
      <c r="L295" s="21">
        <v>21227.59</v>
      </c>
      <c r="M295" s="21">
        <v>24629.87</v>
      </c>
      <c r="N295" s="25"/>
      <c r="O295" s="21">
        <f>SUM(B295:M295)</f>
        <v>314169.65000000002</v>
      </c>
      <c r="P295" s="21">
        <f t="shared" si="19"/>
        <v>4470532.83</v>
      </c>
      <c r="Q295" s="24">
        <v>4156363.18</v>
      </c>
      <c r="R295" s="24"/>
      <c r="S295" s="24"/>
      <c r="T295" s="25"/>
      <c r="U295" s="25"/>
      <c r="V295" s="25"/>
      <c r="W295" s="25"/>
    </row>
    <row r="296" spans="1:23" ht="15.75" customHeight="1" x14ac:dyDescent="0.25">
      <c r="A296" s="20" t="s">
        <v>6</v>
      </c>
      <c r="B296" s="21">
        <v>6098.76</v>
      </c>
      <c r="C296" s="21">
        <v>4440.9399999999996</v>
      </c>
      <c r="D296" s="21">
        <v>3633.1100000000006</v>
      </c>
      <c r="E296" s="21">
        <v>3849.2299999999996</v>
      </c>
      <c r="F296" s="21">
        <v>2244.8500000000004</v>
      </c>
      <c r="G296" s="21">
        <v>1342.3799999999999</v>
      </c>
      <c r="H296" s="21">
        <v>2356.4500000000003</v>
      </c>
      <c r="I296" s="21">
        <v>6297.06</v>
      </c>
      <c r="J296" s="21">
        <v>2648.46</v>
      </c>
      <c r="K296" s="22">
        <v>5419.07</v>
      </c>
      <c r="L296" s="21">
        <v>3032.5099999999998</v>
      </c>
      <c r="M296" s="21">
        <v>3518.55</v>
      </c>
      <c r="N296" s="25"/>
      <c r="O296" s="21">
        <f>SUM(B296:M296)</f>
        <v>44881.37000000001</v>
      </c>
      <c r="P296" s="21">
        <f t="shared" si="19"/>
        <v>654465.97</v>
      </c>
      <c r="Q296" s="24">
        <v>609584.6</v>
      </c>
      <c r="R296" s="24"/>
      <c r="S296" s="24"/>
      <c r="T296" s="25"/>
      <c r="U296" s="25"/>
      <c r="V296" s="25"/>
      <c r="W296" s="25"/>
    </row>
    <row r="297" spans="1:23" ht="15.75" customHeight="1" x14ac:dyDescent="0.25">
      <c r="A297" s="14" t="s">
        <v>7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6">
        <v>0</v>
      </c>
      <c r="L297" s="16">
        <v>0</v>
      </c>
      <c r="M297" s="15">
        <v>0</v>
      </c>
      <c r="N297" s="25"/>
      <c r="O297" s="15"/>
      <c r="P297" s="21"/>
      <c r="Q297" s="24"/>
      <c r="R297" s="24"/>
      <c r="S297" s="24"/>
      <c r="T297" s="25"/>
      <c r="U297" s="25"/>
      <c r="V297" s="25"/>
      <c r="W297" s="25"/>
    </row>
    <row r="298" spans="1:23" ht="15.75" customHeight="1" x14ac:dyDescent="0.25">
      <c r="A298" s="20" t="s">
        <v>4</v>
      </c>
      <c r="B298" s="21">
        <v>0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2">
        <v>0</v>
      </c>
      <c r="L298" s="21">
        <v>0</v>
      </c>
      <c r="M298" s="21">
        <v>0</v>
      </c>
      <c r="N298" s="25"/>
      <c r="O298" s="21">
        <f>SUM(B298:M298)</f>
        <v>0</v>
      </c>
      <c r="P298" s="21">
        <f t="shared" si="19"/>
        <v>0</v>
      </c>
      <c r="Q298" s="24">
        <v>0</v>
      </c>
      <c r="R298" s="24"/>
      <c r="S298" s="24"/>
      <c r="T298" s="25"/>
      <c r="U298" s="25"/>
      <c r="V298" s="25"/>
      <c r="W298" s="25"/>
    </row>
    <row r="299" spans="1:23" ht="15.75" customHeight="1" x14ac:dyDescent="0.25">
      <c r="A299" s="20" t="s">
        <v>5</v>
      </c>
      <c r="B299" s="21">
        <v>0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2">
        <v>0</v>
      </c>
      <c r="L299" s="21">
        <v>0</v>
      </c>
      <c r="M299" s="21">
        <v>0</v>
      </c>
      <c r="N299" s="25"/>
      <c r="O299" s="21">
        <f>SUM(B299:M299)</f>
        <v>0</v>
      </c>
      <c r="P299" s="21">
        <f t="shared" si="19"/>
        <v>0</v>
      </c>
      <c r="Q299" s="24">
        <v>0</v>
      </c>
      <c r="R299" s="24"/>
      <c r="S299" s="24"/>
      <c r="T299" s="25"/>
      <c r="U299" s="25"/>
      <c r="V299" s="25"/>
      <c r="W299" s="25"/>
    </row>
    <row r="300" spans="1:23" ht="15.75" customHeight="1" x14ac:dyDescent="0.25">
      <c r="A300" s="20" t="s">
        <v>6</v>
      </c>
      <c r="B300" s="21">
        <v>0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2">
        <v>0</v>
      </c>
      <c r="L300" s="21">
        <v>0</v>
      </c>
      <c r="M300" s="21">
        <v>0</v>
      </c>
      <c r="N300" s="25"/>
      <c r="O300" s="21">
        <f>SUM(B300:M300)</f>
        <v>0</v>
      </c>
      <c r="P300" s="21">
        <f t="shared" si="19"/>
        <v>0</v>
      </c>
      <c r="Q300" s="24">
        <v>0</v>
      </c>
      <c r="R300" s="24"/>
      <c r="S300" s="24"/>
      <c r="T300" s="25"/>
      <c r="U300" s="25"/>
      <c r="V300" s="25"/>
      <c r="W300" s="25"/>
    </row>
    <row r="301" spans="1:23" ht="15.75" customHeight="1" x14ac:dyDescent="0.25">
      <c r="A301" s="14" t="s">
        <v>8</v>
      </c>
      <c r="B301" s="15">
        <v>27</v>
      </c>
      <c r="C301" s="15">
        <v>27</v>
      </c>
      <c r="D301" s="15">
        <v>27</v>
      </c>
      <c r="E301" s="15">
        <v>27</v>
      </c>
      <c r="F301" s="15">
        <v>27</v>
      </c>
      <c r="G301" s="15">
        <v>27</v>
      </c>
      <c r="H301" s="15">
        <v>27</v>
      </c>
      <c r="I301" s="15">
        <v>27</v>
      </c>
      <c r="J301" s="15">
        <v>27</v>
      </c>
      <c r="K301" s="16">
        <v>26</v>
      </c>
      <c r="L301" s="15">
        <v>26</v>
      </c>
      <c r="M301" s="15">
        <v>26</v>
      </c>
      <c r="N301" s="25"/>
      <c r="O301" s="15"/>
      <c r="P301" s="21"/>
      <c r="Q301" s="24"/>
      <c r="R301" s="24"/>
      <c r="S301" s="24"/>
      <c r="T301" s="25"/>
      <c r="U301" s="25"/>
      <c r="V301" s="25"/>
      <c r="W301" s="25"/>
    </row>
    <row r="302" spans="1:23" ht="15.75" customHeight="1" x14ac:dyDescent="0.25">
      <c r="A302" s="20" t="s">
        <v>4</v>
      </c>
      <c r="B302" s="21">
        <v>304937.77</v>
      </c>
      <c r="C302" s="21">
        <v>222047</v>
      </c>
      <c r="D302" s="21">
        <v>181655.52</v>
      </c>
      <c r="E302" s="21">
        <v>192461.5</v>
      </c>
      <c r="F302" s="21">
        <v>112242.13999999998</v>
      </c>
      <c r="G302" s="21">
        <v>67119</v>
      </c>
      <c r="H302" s="21">
        <v>117822.7</v>
      </c>
      <c r="I302" s="21">
        <v>314852.8</v>
      </c>
      <c r="J302" s="21">
        <v>132423.26</v>
      </c>
      <c r="K302" s="22">
        <v>270953.96999999997</v>
      </c>
      <c r="L302" s="21">
        <v>151625.66999999998</v>
      </c>
      <c r="M302" s="21">
        <v>175927.64</v>
      </c>
      <c r="N302" s="25"/>
      <c r="O302" s="21">
        <f t="shared" ref="O302:O313" si="22">SUM(B302:M302)</f>
        <v>2244068.9700000002</v>
      </c>
      <c r="P302" s="21">
        <f t="shared" si="19"/>
        <v>32723291.909999996</v>
      </c>
      <c r="Q302" s="24">
        <v>30479222.939999998</v>
      </c>
      <c r="R302" s="24"/>
      <c r="S302" s="24"/>
      <c r="T302" s="25"/>
      <c r="U302" s="25"/>
      <c r="V302" s="25"/>
      <c r="W302" s="25"/>
    </row>
    <row r="303" spans="1:23" ht="15.75" customHeight="1" x14ac:dyDescent="0.25">
      <c r="A303" s="20" t="s">
        <v>5</v>
      </c>
      <c r="B303" s="21">
        <v>42691.29</v>
      </c>
      <c r="C303" s="21">
        <v>31086.58</v>
      </c>
      <c r="D303" s="21">
        <v>25431.77</v>
      </c>
      <c r="E303" s="21">
        <v>26944.610000000004</v>
      </c>
      <c r="F303" s="21">
        <v>15713.899999999998</v>
      </c>
      <c r="G303" s="21">
        <v>9396.66</v>
      </c>
      <c r="H303" s="21">
        <v>16495.18</v>
      </c>
      <c r="I303" s="21">
        <v>44079.39</v>
      </c>
      <c r="J303" s="21">
        <v>18539.249999999996</v>
      </c>
      <c r="K303" s="22">
        <v>37933.56</v>
      </c>
      <c r="L303" s="21">
        <v>21227.59</v>
      </c>
      <c r="M303" s="21">
        <v>24629.87</v>
      </c>
      <c r="N303" s="25"/>
      <c r="O303" s="21">
        <f t="shared" si="22"/>
        <v>314169.65000000002</v>
      </c>
      <c r="P303" s="21">
        <f t="shared" si="19"/>
        <v>4470532.83</v>
      </c>
      <c r="Q303" s="24">
        <v>4156363.18</v>
      </c>
      <c r="R303" s="24"/>
      <c r="S303" s="24"/>
      <c r="T303" s="25"/>
      <c r="U303" s="25"/>
      <c r="V303" s="25"/>
      <c r="W303" s="25"/>
    </row>
    <row r="304" spans="1:23" ht="15.75" customHeight="1" x14ac:dyDescent="0.25">
      <c r="A304" s="20" t="s">
        <v>6</v>
      </c>
      <c r="B304" s="21">
        <v>6098.76</v>
      </c>
      <c r="C304" s="21">
        <v>4440.9399999999996</v>
      </c>
      <c r="D304" s="21">
        <v>3633.1100000000006</v>
      </c>
      <c r="E304" s="21">
        <v>3849.2299999999996</v>
      </c>
      <c r="F304" s="21">
        <v>2244.8500000000004</v>
      </c>
      <c r="G304" s="21">
        <v>1342.3799999999999</v>
      </c>
      <c r="H304" s="21">
        <v>2356.4500000000003</v>
      </c>
      <c r="I304" s="21">
        <v>6297.06</v>
      </c>
      <c r="J304" s="21">
        <v>2648.46</v>
      </c>
      <c r="K304" s="22">
        <v>5419.07</v>
      </c>
      <c r="L304" s="21">
        <v>3032.5099999999998</v>
      </c>
      <c r="M304" s="21">
        <v>3518.55</v>
      </c>
      <c r="N304" s="25"/>
      <c r="O304" s="21">
        <f t="shared" si="22"/>
        <v>44881.37000000001</v>
      </c>
      <c r="P304" s="21">
        <f t="shared" si="19"/>
        <v>654465.97</v>
      </c>
      <c r="Q304" s="24">
        <v>609584.6</v>
      </c>
      <c r="R304" s="24"/>
      <c r="S304" s="24"/>
      <c r="T304" s="25"/>
      <c r="U304" s="25"/>
      <c r="V304" s="25"/>
      <c r="W304" s="25"/>
    </row>
    <row r="305" spans="1:23" ht="15.75" customHeight="1" x14ac:dyDescent="0.25">
      <c r="A305" s="14" t="s">
        <v>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6">
        <v>0</v>
      </c>
      <c r="L305" s="16">
        <v>0</v>
      </c>
      <c r="M305" s="15">
        <v>0</v>
      </c>
      <c r="N305" s="25"/>
      <c r="O305" s="15"/>
      <c r="P305" s="21"/>
      <c r="Q305" s="24"/>
      <c r="R305" s="24"/>
      <c r="S305" s="24"/>
      <c r="T305" s="25"/>
      <c r="U305" s="25"/>
      <c r="V305" s="25"/>
      <c r="W305" s="25"/>
    </row>
    <row r="306" spans="1:23" ht="15.75" customHeight="1" x14ac:dyDescent="0.25">
      <c r="A306" s="20" t="s">
        <v>4</v>
      </c>
      <c r="B306" s="21">
        <v>0</v>
      </c>
      <c r="C306" s="21">
        <v>0</v>
      </c>
      <c r="D306" s="21">
        <v>0</v>
      </c>
      <c r="E306" s="21">
        <v>0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2">
        <v>0</v>
      </c>
      <c r="L306" s="21">
        <v>0</v>
      </c>
      <c r="M306" s="21">
        <v>0</v>
      </c>
      <c r="N306" s="25"/>
      <c r="O306" s="21">
        <f t="shared" si="22"/>
        <v>0</v>
      </c>
      <c r="P306" s="21">
        <f t="shared" si="19"/>
        <v>0</v>
      </c>
      <c r="Q306" s="24">
        <v>0</v>
      </c>
      <c r="R306" s="24"/>
      <c r="S306" s="24"/>
      <c r="T306" s="25"/>
      <c r="U306" s="25"/>
      <c r="V306" s="25"/>
      <c r="W306" s="25"/>
    </row>
    <row r="307" spans="1:23" ht="15.75" customHeight="1" x14ac:dyDescent="0.25">
      <c r="A307" s="20" t="s">
        <v>5</v>
      </c>
      <c r="B307" s="21">
        <v>0</v>
      </c>
      <c r="C307" s="21">
        <v>0</v>
      </c>
      <c r="D307" s="21">
        <v>0</v>
      </c>
      <c r="E307" s="21">
        <v>0</v>
      </c>
      <c r="F307" s="21">
        <v>0</v>
      </c>
      <c r="G307" s="21">
        <v>0</v>
      </c>
      <c r="H307" s="21">
        <v>0</v>
      </c>
      <c r="I307" s="21">
        <v>0</v>
      </c>
      <c r="J307" s="21">
        <v>0</v>
      </c>
      <c r="K307" s="22">
        <v>0</v>
      </c>
      <c r="L307" s="21">
        <v>0</v>
      </c>
      <c r="M307" s="21">
        <v>0</v>
      </c>
      <c r="N307" s="25"/>
      <c r="O307" s="21">
        <f t="shared" si="22"/>
        <v>0</v>
      </c>
      <c r="P307" s="21">
        <f t="shared" si="19"/>
        <v>0</v>
      </c>
      <c r="Q307" s="24">
        <v>0</v>
      </c>
      <c r="R307" s="24"/>
      <c r="S307" s="24"/>
      <c r="T307" s="25"/>
      <c r="U307" s="25"/>
      <c r="V307" s="25"/>
      <c r="W307" s="25"/>
    </row>
    <row r="308" spans="1:23" ht="15.75" customHeight="1" x14ac:dyDescent="0.25">
      <c r="A308" s="20" t="s">
        <v>6</v>
      </c>
      <c r="B308" s="21">
        <v>0</v>
      </c>
      <c r="C308" s="21">
        <v>0</v>
      </c>
      <c r="D308" s="21">
        <v>0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0</v>
      </c>
      <c r="K308" s="22">
        <v>0</v>
      </c>
      <c r="L308" s="21">
        <v>0</v>
      </c>
      <c r="M308" s="21">
        <v>0</v>
      </c>
      <c r="N308" s="25"/>
      <c r="O308" s="21">
        <f t="shared" si="22"/>
        <v>0</v>
      </c>
      <c r="P308" s="21">
        <f t="shared" si="19"/>
        <v>0</v>
      </c>
      <c r="Q308" s="24">
        <v>0</v>
      </c>
      <c r="R308" s="24"/>
      <c r="S308" s="24"/>
      <c r="T308" s="25"/>
      <c r="U308" s="25"/>
      <c r="V308" s="25"/>
      <c r="W308" s="25"/>
    </row>
    <row r="309" spans="1:23" ht="15.75" customHeight="1" x14ac:dyDescent="0.25">
      <c r="A309" s="14" t="s">
        <v>10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6">
        <v>0</v>
      </c>
      <c r="L309" s="16">
        <v>0</v>
      </c>
      <c r="M309" s="15">
        <v>0</v>
      </c>
      <c r="N309" s="25"/>
      <c r="O309" s="15"/>
      <c r="P309" s="21"/>
      <c r="Q309" s="24"/>
      <c r="R309" s="24"/>
      <c r="S309" s="24"/>
      <c r="T309" s="25"/>
      <c r="U309" s="25"/>
      <c r="V309" s="25"/>
      <c r="W309" s="25"/>
    </row>
    <row r="310" spans="1:23" ht="15.75" customHeight="1" x14ac:dyDescent="0.25">
      <c r="A310" s="20" t="s">
        <v>4</v>
      </c>
      <c r="B310" s="21">
        <v>0</v>
      </c>
      <c r="C310" s="21">
        <v>0</v>
      </c>
      <c r="D310" s="21">
        <v>0</v>
      </c>
      <c r="E310" s="21">
        <v>0</v>
      </c>
      <c r="F310" s="21">
        <v>0</v>
      </c>
      <c r="G310" s="21">
        <v>0</v>
      </c>
      <c r="H310" s="21">
        <v>0</v>
      </c>
      <c r="I310" s="21">
        <v>0</v>
      </c>
      <c r="J310" s="21">
        <v>0</v>
      </c>
      <c r="K310" s="22">
        <v>0</v>
      </c>
      <c r="L310" s="21">
        <v>0</v>
      </c>
      <c r="M310" s="21">
        <v>0</v>
      </c>
      <c r="N310" s="25"/>
      <c r="O310" s="21">
        <f t="shared" si="22"/>
        <v>0</v>
      </c>
      <c r="P310" s="21">
        <f t="shared" si="19"/>
        <v>0</v>
      </c>
      <c r="Q310" s="24">
        <v>0</v>
      </c>
      <c r="R310" s="24"/>
      <c r="S310" s="24"/>
      <c r="T310" s="25"/>
      <c r="U310" s="25"/>
      <c r="V310" s="25"/>
      <c r="W310" s="25"/>
    </row>
    <row r="311" spans="1:23" ht="15.75" customHeight="1" x14ac:dyDescent="0.25">
      <c r="A311" s="20" t="s">
        <v>5</v>
      </c>
      <c r="B311" s="21">
        <v>0</v>
      </c>
      <c r="C311" s="21">
        <v>0</v>
      </c>
      <c r="D311" s="21">
        <v>0</v>
      </c>
      <c r="E311" s="21">
        <v>0</v>
      </c>
      <c r="F311" s="21">
        <v>0</v>
      </c>
      <c r="G311" s="21">
        <v>0</v>
      </c>
      <c r="H311" s="21">
        <v>0</v>
      </c>
      <c r="I311" s="21">
        <v>0</v>
      </c>
      <c r="J311" s="21">
        <v>0</v>
      </c>
      <c r="K311" s="22">
        <v>0</v>
      </c>
      <c r="L311" s="21">
        <v>0</v>
      </c>
      <c r="M311" s="21">
        <v>0</v>
      </c>
      <c r="N311" s="25"/>
      <c r="O311" s="21">
        <f t="shared" si="22"/>
        <v>0</v>
      </c>
      <c r="P311" s="21">
        <f t="shared" si="19"/>
        <v>0</v>
      </c>
      <c r="Q311" s="24">
        <v>0</v>
      </c>
      <c r="R311" s="24"/>
      <c r="S311" s="24"/>
      <c r="T311" s="25"/>
      <c r="U311" s="25"/>
      <c r="V311" s="25"/>
      <c r="W311" s="25"/>
    </row>
    <row r="312" spans="1:23" ht="15.75" customHeight="1" x14ac:dyDescent="0.25">
      <c r="A312" s="20" t="s">
        <v>6</v>
      </c>
      <c r="B312" s="21">
        <v>0</v>
      </c>
      <c r="C312" s="21">
        <v>0</v>
      </c>
      <c r="D312" s="21">
        <v>0</v>
      </c>
      <c r="E312" s="21">
        <v>0</v>
      </c>
      <c r="F312" s="21">
        <v>0</v>
      </c>
      <c r="G312" s="21">
        <v>0</v>
      </c>
      <c r="H312" s="21">
        <v>0</v>
      </c>
      <c r="I312" s="21">
        <v>0</v>
      </c>
      <c r="J312" s="21">
        <v>0</v>
      </c>
      <c r="K312" s="22">
        <v>0</v>
      </c>
      <c r="L312" s="21">
        <v>0</v>
      </c>
      <c r="M312" s="21">
        <v>0</v>
      </c>
      <c r="N312" s="25"/>
      <c r="O312" s="21">
        <f t="shared" si="22"/>
        <v>0</v>
      </c>
      <c r="P312" s="21">
        <f t="shared" si="19"/>
        <v>0</v>
      </c>
      <c r="Q312" s="24">
        <v>0</v>
      </c>
      <c r="R312" s="24"/>
      <c r="S312" s="24"/>
      <c r="T312" s="25"/>
      <c r="U312" s="25"/>
      <c r="V312" s="25"/>
      <c r="W312" s="25"/>
    </row>
    <row r="313" spans="1:23" ht="15.75" customHeight="1" x14ac:dyDescent="0.25">
      <c r="A313" s="31" t="s">
        <v>11</v>
      </c>
      <c r="B313" s="15">
        <v>0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6">
        <v>0</v>
      </c>
      <c r="M313" s="16">
        <v>0</v>
      </c>
      <c r="N313" s="25"/>
      <c r="O313" s="15"/>
      <c r="P313" s="15"/>
      <c r="Q313" s="24"/>
      <c r="R313" s="24"/>
      <c r="S313" s="24"/>
      <c r="T313" s="25"/>
      <c r="U313" s="25"/>
      <c r="V313" s="25"/>
      <c r="W313" s="25"/>
    </row>
    <row r="314" spans="1:23" ht="15.75" customHeight="1" x14ac:dyDescent="0.25">
      <c r="A314" s="32" t="s">
        <v>4</v>
      </c>
      <c r="B314" s="21">
        <v>0</v>
      </c>
      <c r="C314" s="21">
        <v>0</v>
      </c>
      <c r="D314" s="21">
        <v>0</v>
      </c>
      <c r="E314" s="21">
        <v>0</v>
      </c>
      <c r="F314" s="21"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5"/>
      <c r="O314" s="21">
        <f t="shared" ref="O314:O316" si="23">SUM(B314:M314)</f>
        <v>0</v>
      </c>
      <c r="P314" s="21">
        <f t="shared" si="19"/>
        <v>0</v>
      </c>
      <c r="Q314" s="24">
        <v>0</v>
      </c>
      <c r="R314" s="24"/>
      <c r="S314" s="24"/>
      <c r="T314" s="25"/>
      <c r="U314" s="25"/>
      <c r="V314" s="25"/>
      <c r="W314" s="25"/>
    </row>
    <row r="315" spans="1:23" ht="15.75" customHeight="1" x14ac:dyDescent="0.25">
      <c r="A315" s="20" t="s">
        <v>5</v>
      </c>
      <c r="B315" s="21">
        <v>0</v>
      </c>
      <c r="C315" s="21">
        <v>0</v>
      </c>
      <c r="D315" s="21">
        <v>0</v>
      </c>
      <c r="E315" s="21">
        <v>0</v>
      </c>
      <c r="F315" s="21"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5"/>
      <c r="O315" s="21">
        <f t="shared" si="23"/>
        <v>0</v>
      </c>
      <c r="P315" s="21">
        <f t="shared" si="19"/>
        <v>0</v>
      </c>
      <c r="Q315" s="24">
        <v>0</v>
      </c>
      <c r="R315" s="24"/>
      <c r="S315" s="24"/>
      <c r="T315" s="25"/>
      <c r="U315" s="25"/>
      <c r="V315" s="25"/>
      <c r="W315" s="25"/>
    </row>
    <row r="316" spans="1:23" ht="15.75" customHeight="1" x14ac:dyDescent="0.25">
      <c r="A316" s="32" t="s">
        <v>6</v>
      </c>
      <c r="B316" s="21">
        <v>0</v>
      </c>
      <c r="C316" s="21">
        <v>0</v>
      </c>
      <c r="D316" s="21">
        <v>0</v>
      </c>
      <c r="E316" s="21">
        <v>0</v>
      </c>
      <c r="F316" s="21"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5"/>
      <c r="O316" s="21">
        <f t="shared" si="23"/>
        <v>0</v>
      </c>
      <c r="P316" s="21">
        <f t="shared" si="19"/>
        <v>0</v>
      </c>
      <c r="Q316" s="24">
        <v>0</v>
      </c>
      <c r="R316" s="24"/>
      <c r="S316" s="24"/>
      <c r="T316" s="25"/>
      <c r="U316" s="25"/>
      <c r="V316" s="25"/>
      <c r="W316" s="25"/>
    </row>
    <row r="317" spans="1:23" ht="15.75" customHeight="1" x14ac:dyDescent="0.25">
      <c r="A317" s="32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5"/>
      <c r="O317" s="21"/>
      <c r="P317" s="21"/>
      <c r="Q317" s="24"/>
      <c r="R317" s="24"/>
      <c r="S317" s="24"/>
      <c r="T317" s="25"/>
      <c r="U317" s="25"/>
      <c r="V317" s="25"/>
      <c r="W317" s="25"/>
    </row>
    <row r="318" spans="1:23" ht="15.75" customHeight="1" x14ac:dyDescent="0.25">
      <c r="A318" s="12" t="s">
        <v>47</v>
      </c>
      <c r="B318" s="33"/>
      <c r="C318" s="39"/>
      <c r="D318" s="39"/>
      <c r="E318" s="39"/>
      <c r="F318" s="33"/>
      <c r="G318" s="21"/>
      <c r="H318" s="21"/>
      <c r="I318" s="21"/>
      <c r="J318" s="21"/>
      <c r="K318" s="21"/>
      <c r="L318" s="21"/>
      <c r="M318" s="21"/>
      <c r="N318" s="25"/>
      <c r="O318" s="21"/>
      <c r="P318" s="21"/>
      <c r="Q318" s="24"/>
      <c r="R318" s="24"/>
      <c r="S318" s="24"/>
      <c r="T318" s="25"/>
      <c r="U318" s="25"/>
      <c r="V318" s="25"/>
      <c r="W318" s="25"/>
    </row>
    <row r="319" spans="1:23" ht="15.75" customHeight="1" x14ac:dyDescent="0.25">
      <c r="A319" s="14" t="s">
        <v>3</v>
      </c>
      <c r="B319" s="15">
        <v>0</v>
      </c>
      <c r="C319" s="15">
        <v>0</v>
      </c>
      <c r="D319" s="15">
        <v>0</v>
      </c>
      <c r="E319" s="15">
        <v>0</v>
      </c>
      <c r="F319" s="15">
        <v>30</v>
      </c>
      <c r="G319" s="15">
        <v>30</v>
      </c>
      <c r="H319" s="56">
        <v>30</v>
      </c>
      <c r="I319" s="56">
        <v>30</v>
      </c>
      <c r="J319" s="56">
        <v>30</v>
      </c>
      <c r="K319" s="56">
        <v>30</v>
      </c>
      <c r="L319" s="56">
        <v>30</v>
      </c>
      <c r="M319" s="56">
        <v>30</v>
      </c>
      <c r="N319" s="25"/>
      <c r="O319" s="15"/>
      <c r="P319" s="21"/>
      <c r="Q319" s="24"/>
      <c r="R319" s="24"/>
      <c r="S319" s="24"/>
      <c r="T319" s="25"/>
      <c r="U319" s="25"/>
      <c r="V319" s="25"/>
      <c r="W319" s="25"/>
    </row>
    <row r="320" spans="1:23" ht="15.75" customHeight="1" x14ac:dyDescent="0.25">
      <c r="A320" s="20" t="s">
        <v>4</v>
      </c>
      <c r="B320" s="21">
        <v>0</v>
      </c>
      <c r="C320" s="21">
        <v>0</v>
      </c>
      <c r="D320" s="21">
        <v>0</v>
      </c>
      <c r="E320" s="21">
        <v>0</v>
      </c>
      <c r="F320" s="21">
        <v>226134.25</v>
      </c>
      <c r="G320" s="21">
        <v>298078.85000000003</v>
      </c>
      <c r="H320" s="21">
        <v>874767.02</v>
      </c>
      <c r="I320" s="21">
        <v>775442.01</v>
      </c>
      <c r="J320" s="21">
        <v>1344519.23</v>
      </c>
      <c r="K320" s="21">
        <v>1017643.7799999999</v>
      </c>
      <c r="L320" s="21">
        <v>1253058.97</v>
      </c>
      <c r="M320" s="21">
        <v>1486082.43</v>
      </c>
      <c r="N320" s="25"/>
      <c r="O320" s="21">
        <f>SUM(B320:M320)</f>
        <v>7275726.5399999991</v>
      </c>
      <c r="P320" s="21">
        <f t="shared" si="19"/>
        <v>7275726.5399999991</v>
      </c>
      <c r="Q320" s="24"/>
      <c r="R320" s="24"/>
      <c r="S320" s="24"/>
      <c r="T320" s="25"/>
      <c r="U320" s="25"/>
      <c r="V320" s="25"/>
      <c r="W320" s="25"/>
    </row>
    <row r="321" spans="1:23" ht="15.75" customHeight="1" x14ac:dyDescent="0.25">
      <c r="A321" s="20" t="s">
        <v>5</v>
      </c>
      <c r="B321" s="21">
        <v>0</v>
      </c>
      <c r="C321" s="21">
        <v>0</v>
      </c>
      <c r="D321" s="21">
        <v>0</v>
      </c>
      <c r="E321" s="21">
        <v>0</v>
      </c>
      <c r="F321" s="21">
        <v>31419.749999999996</v>
      </c>
      <c r="G321" s="21">
        <v>41731.03</v>
      </c>
      <c r="H321" s="21">
        <v>122467.38999999998</v>
      </c>
      <c r="I321" s="21">
        <v>108561.88999999998</v>
      </c>
      <c r="J321" s="21">
        <v>188232.71000000002</v>
      </c>
      <c r="K321" s="21">
        <v>142470.13999999998</v>
      </c>
      <c r="L321" s="21">
        <v>175428.25999999998</v>
      </c>
      <c r="M321" s="21">
        <v>208051.54999999996</v>
      </c>
      <c r="N321" s="25"/>
      <c r="O321" s="21">
        <f>SUM(B321:M321)</f>
        <v>1018362.7199999999</v>
      </c>
      <c r="P321" s="21">
        <f t="shared" si="19"/>
        <v>1018362.7199999999</v>
      </c>
      <c r="Q321" s="24"/>
      <c r="R321" s="24"/>
      <c r="S321" s="24"/>
      <c r="T321" s="25"/>
      <c r="U321" s="25"/>
      <c r="V321" s="25"/>
      <c r="W321" s="25"/>
    </row>
    <row r="322" spans="1:23" ht="15.75" customHeight="1" x14ac:dyDescent="0.25">
      <c r="A322" s="20" t="s">
        <v>6</v>
      </c>
      <c r="B322" s="21">
        <v>0</v>
      </c>
      <c r="C322" s="21">
        <v>0</v>
      </c>
      <c r="D322" s="21">
        <v>0</v>
      </c>
      <c r="E322" s="21">
        <v>0</v>
      </c>
      <c r="F322" s="21">
        <v>4488.5400000000009</v>
      </c>
      <c r="G322" s="21">
        <v>5961.5800000000008</v>
      </c>
      <c r="H322" s="21">
        <v>17495.349999999999</v>
      </c>
      <c r="I322" s="21">
        <v>15508.83</v>
      </c>
      <c r="J322" s="21">
        <v>26890.390000000003</v>
      </c>
      <c r="K322" s="21">
        <v>20352.88</v>
      </c>
      <c r="L322" s="21">
        <v>25061.19</v>
      </c>
      <c r="M322" s="21">
        <v>29721.659999999996</v>
      </c>
      <c r="N322" s="25"/>
      <c r="O322" s="21">
        <f>SUM(B322:M322)</f>
        <v>145480.42000000001</v>
      </c>
      <c r="P322" s="21">
        <f t="shared" si="19"/>
        <v>145480.42000000001</v>
      </c>
      <c r="Q322" s="24"/>
      <c r="R322" s="24"/>
      <c r="S322" s="24"/>
      <c r="T322" s="25"/>
      <c r="U322" s="25"/>
      <c r="V322" s="25"/>
      <c r="W322" s="25"/>
    </row>
    <row r="323" spans="1:23" ht="15.75" customHeight="1" x14ac:dyDescent="0.25">
      <c r="A323" s="14" t="s">
        <v>7</v>
      </c>
      <c r="B323" s="15">
        <v>0</v>
      </c>
      <c r="C323" s="15">
        <v>0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56">
        <v>0</v>
      </c>
      <c r="J323" s="56">
        <v>0</v>
      </c>
      <c r="K323" s="56">
        <v>0</v>
      </c>
      <c r="L323" s="56">
        <v>0</v>
      </c>
      <c r="M323" s="56">
        <v>0</v>
      </c>
      <c r="N323" s="25"/>
      <c r="O323" s="15"/>
      <c r="P323" s="21"/>
      <c r="Q323" s="24"/>
      <c r="R323" s="24"/>
      <c r="S323" s="24"/>
      <c r="T323" s="25"/>
      <c r="U323" s="25"/>
      <c r="V323" s="25"/>
      <c r="W323" s="25"/>
    </row>
    <row r="324" spans="1:23" ht="15.75" customHeight="1" x14ac:dyDescent="0.25">
      <c r="A324" s="20" t="s">
        <v>4</v>
      </c>
      <c r="B324" s="21">
        <v>0</v>
      </c>
      <c r="C324" s="21">
        <v>0</v>
      </c>
      <c r="D324" s="21">
        <v>0</v>
      </c>
      <c r="E324" s="21">
        <v>0</v>
      </c>
      <c r="F324" s="21">
        <v>0</v>
      </c>
      <c r="G324" s="21">
        <v>0</v>
      </c>
      <c r="H324" s="21">
        <v>0</v>
      </c>
      <c r="I324" s="21">
        <v>0</v>
      </c>
      <c r="J324" s="21">
        <v>0</v>
      </c>
      <c r="K324" s="21">
        <v>0</v>
      </c>
      <c r="L324" s="21">
        <v>0</v>
      </c>
      <c r="M324" s="21">
        <v>0</v>
      </c>
      <c r="N324" s="25"/>
      <c r="O324" s="21">
        <f>SUM(B324:M324)</f>
        <v>0</v>
      </c>
      <c r="P324" s="21">
        <f t="shared" si="19"/>
        <v>0</v>
      </c>
      <c r="Q324" s="24"/>
      <c r="R324" s="24"/>
      <c r="S324" s="24"/>
      <c r="T324" s="25"/>
      <c r="U324" s="25"/>
      <c r="V324" s="25"/>
      <c r="W324" s="25"/>
    </row>
    <row r="325" spans="1:23" ht="15.75" customHeight="1" x14ac:dyDescent="0.25">
      <c r="A325" s="20" t="s">
        <v>5</v>
      </c>
      <c r="B325" s="21">
        <v>0</v>
      </c>
      <c r="C325" s="21">
        <v>0</v>
      </c>
      <c r="D325" s="21">
        <v>0</v>
      </c>
      <c r="E325" s="21">
        <v>0</v>
      </c>
      <c r="F325" s="21">
        <v>0</v>
      </c>
      <c r="G325" s="21">
        <v>0</v>
      </c>
      <c r="H325" s="21">
        <v>0</v>
      </c>
      <c r="I325" s="21">
        <v>0</v>
      </c>
      <c r="J325" s="21">
        <v>0</v>
      </c>
      <c r="K325" s="21">
        <v>0</v>
      </c>
      <c r="L325" s="21">
        <v>0</v>
      </c>
      <c r="M325" s="21">
        <v>0</v>
      </c>
      <c r="N325" s="25"/>
      <c r="O325" s="21">
        <f>SUM(B325:M325)</f>
        <v>0</v>
      </c>
      <c r="P325" s="21">
        <f t="shared" si="19"/>
        <v>0</v>
      </c>
      <c r="Q325" s="24"/>
      <c r="R325" s="24"/>
      <c r="S325" s="24"/>
      <c r="T325" s="25"/>
      <c r="U325" s="25"/>
      <c r="V325" s="25"/>
      <c r="W325" s="25"/>
    </row>
    <row r="326" spans="1:23" ht="15.75" customHeight="1" x14ac:dyDescent="0.25">
      <c r="A326" s="20" t="s">
        <v>6</v>
      </c>
      <c r="B326" s="21">
        <v>0</v>
      </c>
      <c r="C326" s="21">
        <v>0</v>
      </c>
      <c r="D326" s="21">
        <v>0</v>
      </c>
      <c r="E326" s="21">
        <v>0</v>
      </c>
      <c r="F326" s="21">
        <v>0</v>
      </c>
      <c r="G326" s="21">
        <v>0</v>
      </c>
      <c r="H326" s="21">
        <v>0</v>
      </c>
      <c r="I326" s="21">
        <v>0</v>
      </c>
      <c r="J326" s="21">
        <v>0</v>
      </c>
      <c r="K326" s="21">
        <v>0</v>
      </c>
      <c r="L326" s="21">
        <v>0</v>
      </c>
      <c r="M326" s="21">
        <v>0</v>
      </c>
      <c r="N326" s="25"/>
      <c r="O326" s="21">
        <f>SUM(B326:M326)</f>
        <v>0</v>
      </c>
      <c r="P326" s="21">
        <f t="shared" si="19"/>
        <v>0</v>
      </c>
      <c r="Q326" s="24"/>
      <c r="R326" s="24"/>
      <c r="S326" s="24"/>
      <c r="T326" s="25"/>
      <c r="U326" s="25"/>
      <c r="V326" s="25"/>
      <c r="W326" s="25"/>
    </row>
    <row r="327" spans="1:23" ht="15.75" customHeight="1" x14ac:dyDescent="0.25">
      <c r="A327" s="14" t="s">
        <v>8</v>
      </c>
      <c r="B327" s="15">
        <v>0</v>
      </c>
      <c r="C327" s="15">
        <v>0</v>
      </c>
      <c r="D327" s="15">
        <v>0</v>
      </c>
      <c r="E327" s="15">
        <v>0</v>
      </c>
      <c r="F327" s="15">
        <v>30</v>
      </c>
      <c r="G327" s="15">
        <v>30</v>
      </c>
      <c r="H327" s="56">
        <v>30</v>
      </c>
      <c r="I327" s="56">
        <v>30</v>
      </c>
      <c r="J327" s="56">
        <v>30</v>
      </c>
      <c r="K327" s="56">
        <v>30</v>
      </c>
      <c r="L327" s="56">
        <v>30</v>
      </c>
      <c r="M327" s="56">
        <v>30</v>
      </c>
      <c r="N327" s="25"/>
      <c r="O327" s="15"/>
      <c r="P327" s="21"/>
      <c r="Q327" s="24"/>
      <c r="R327" s="24"/>
      <c r="S327" s="24"/>
      <c r="T327" s="25"/>
      <c r="U327" s="25"/>
      <c r="V327" s="25"/>
      <c r="W327" s="25"/>
    </row>
    <row r="328" spans="1:23" ht="15.75" customHeight="1" x14ac:dyDescent="0.25">
      <c r="A328" s="20" t="s">
        <v>4</v>
      </c>
      <c r="B328" s="21">
        <v>0</v>
      </c>
      <c r="C328" s="21">
        <v>0</v>
      </c>
      <c r="D328" s="21">
        <v>0</v>
      </c>
      <c r="E328" s="21">
        <v>0</v>
      </c>
      <c r="F328" s="21">
        <v>224426.75</v>
      </c>
      <c r="G328" s="21">
        <v>298078.85000000003</v>
      </c>
      <c r="H328" s="21">
        <v>874767.02</v>
      </c>
      <c r="I328" s="21">
        <v>775442.01</v>
      </c>
      <c r="J328" s="21">
        <v>1344519.23</v>
      </c>
      <c r="K328" s="21">
        <v>1017643.7799999999</v>
      </c>
      <c r="L328" s="21">
        <v>1253058.97</v>
      </c>
      <c r="M328" s="21">
        <v>1486082.43</v>
      </c>
      <c r="N328" s="25"/>
      <c r="O328" s="21">
        <f t="shared" ref="O327:O342" si="24">SUM(B328:M328)</f>
        <v>7274019.0399999991</v>
      </c>
      <c r="P328" s="21">
        <f t="shared" si="19"/>
        <v>7274019.0399999991</v>
      </c>
      <c r="Q328" s="24"/>
      <c r="R328" s="24"/>
      <c r="S328" s="24"/>
      <c r="T328" s="25"/>
      <c r="U328" s="25"/>
      <c r="V328" s="25"/>
      <c r="W328" s="25"/>
    </row>
    <row r="329" spans="1:23" ht="15.75" customHeight="1" x14ac:dyDescent="0.25">
      <c r="A329" s="20" t="s">
        <v>5</v>
      </c>
      <c r="B329" s="21">
        <v>0</v>
      </c>
      <c r="C329" s="21">
        <v>0</v>
      </c>
      <c r="D329" s="21">
        <v>0</v>
      </c>
      <c r="E329" s="21">
        <v>0</v>
      </c>
      <c r="F329" s="21">
        <v>31419.749999999996</v>
      </c>
      <c r="G329" s="21">
        <v>41731.03</v>
      </c>
      <c r="H329" s="21">
        <v>122467.38999999998</v>
      </c>
      <c r="I329" s="21">
        <v>108561.88999999998</v>
      </c>
      <c r="J329" s="21">
        <v>188232.71000000002</v>
      </c>
      <c r="K329" s="21">
        <v>142470.13999999998</v>
      </c>
      <c r="L329" s="21">
        <v>175428.25999999998</v>
      </c>
      <c r="M329" s="21">
        <v>208051.54999999996</v>
      </c>
      <c r="N329" s="25"/>
      <c r="O329" s="21">
        <f t="shared" si="24"/>
        <v>1018362.7199999999</v>
      </c>
      <c r="P329" s="21">
        <f t="shared" si="19"/>
        <v>1018362.7199999999</v>
      </c>
      <c r="Q329" s="24"/>
      <c r="R329" s="24"/>
      <c r="S329" s="24"/>
      <c r="T329" s="25"/>
      <c r="U329" s="25"/>
      <c r="V329" s="25"/>
      <c r="W329" s="25"/>
    </row>
    <row r="330" spans="1:23" ht="15.75" customHeight="1" x14ac:dyDescent="0.25">
      <c r="A330" s="20" t="s">
        <v>6</v>
      </c>
      <c r="B330" s="21">
        <v>0</v>
      </c>
      <c r="C330" s="21">
        <v>0</v>
      </c>
      <c r="D330" s="21">
        <v>0</v>
      </c>
      <c r="E330" s="21">
        <v>0</v>
      </c>
      <c r="F330" s="21">
        <v>4488.5400000000009</v>
      </c>
      <c r="G330" s="21">
        <v>5961.5800000000008</v>
      </c>
      <c r="H330" s="21">
        <v>17495.349999999999</v>
      </c>
      <c r="I330" s="21">
        <v>15508.83</v>
      </c>
      <c r="J330" s="21">
        <v>26890.390000000003</v>
      </c>
      <c r="K330" s="21">
        <v>20352.88</v>
      </c>
      <c r="L330" s="21">
        <v>25061.19</v>
      </c>
      <c r="M330" s="21">
        <v>29721.659999999996</v>
      </c>
      <c r="N330" s="25"/>
      <c r="O330" s="21">
        <f t="shared" si="24"/>
        <v>145480.42000000001</v>
      </c>
      <c r="P330" s="21">
        <f t="shared" si="19"/>
        <v>145480.42000000001</v>
      </c>
      <c r="Q330" s="24"/>
      <c r="R330" s="24"/>
      <c r="S330" s="24"/>
      <c r="T330" s="25"/>
      <c r="U330" s="25"/>
      <c r="V330" s="25"/>
      <c r="W330" s="25"/>
    </row>
    <row r="331" spans="1:23" ht="15.75" customHeight="1" x14ac:dyDescent="0.25">
      <c r="A331" s="14" t="s">
        <v>9</v>
      </c>
      <c r="B331" s="15">
        <v>0</v>
      </c>
      <c r="C331" s="15">
        <v>0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56">
        <v>0</v>
      </c>
      <c r="J331" s="56">
        <v>0</v>
      </c>
      <c r="K331" s="56">
        <v>0</v>
      </c>
      <c r="L331" s="56">
        <v>0</v>
      </c>
      <c r="M331" s="56">
        <v>0</v>
      </c>
      <c r="N331" s="25"/>
      <c r="O331" s="15"/>
      <c r="P331" s="21"/>
      <c r="Q331" s="24"/>
      <c r="R331" s="24"/>
      <c r="S331" s="24"/>
      <c r="T331" s="25"/>
      <c r="U331" s="25"/>
      <c r="V331" s="25"/>
      <c r="W331" s="25"/>
    </row>
    <row r="332" spans="1:23" ht="15.75" customHeight="1" x14ac:dyDescent="0.25">
      <c r="A332" s="20" t="s">
        <v>4</v>
      </c>
      <c r="B332" s="21">
        <v>0</v>
      </c>
      <c r="C332" s="21">
        <v>0</v>
      </c>
      <c r="D332" s="21">
        <v>0</v>
      </c>
      <c r="E332" s="21">
        <v>0</v>
      </c>
      <c r="F332" s="21">
        <v>0</v>
      </c>
      <c r="G332" s="21">
        <v>0</v>
      </c>
      <c r="H332" s="21">
        <v>0</v>
      </c>
      <c r="I332" s="21">
        <v>0</v>
      </c>
      <c r="J332" s="21">
        <v>0</v>
      </c>
      <c r="K332" s="21">
        <v>0</v>
      </c>
      <c r="L332" s="21">
        <v>0</v>
      </c>
      <c r="M332" s="21">
        <v>0</v>
      </c>
      <c r="N332" s="25"/>
      <c r="O332" s="21">
        <f t="shared" si="24"/>
        <v>0</v>
      </c>
      <c r="P332" s="21">
        <f t="shared" si="19"/>
        <v>0</v>
      </c>
      <c r="Q332" s="24"/>
      <c r="R332" s="24"/>
      <c r="S332" s="24"/>
      <c r="T332" s="25"/>
      <c r="U332" s="25"/>
      <c r="V332" s="25"/>
      <c r="W332" s="25"/>
    </row>
    <row r="333" spans="1:23" ht="15.75" customHeight="1" x14ac:dyDescent="0.25">
      <c r="A333" s="20" t="s">
        <v>5</v>
      </c>
      <c r="B333" s="21">
        <v>0</v>
      </c>
      <c r="C333" s="21">
        <v>0</v>
      </c>
      <c r="D333" s="21">
        <v>0</v>
      </c>
      <c r="E333" s="21">
        <v>0</v>
      </c>
      <c r="F333" s="21">
        <v>0</v>
      </c>
      <c r="G333" s="21">
        <v>0</v>
      </c>
      <c r="H333" s="21">
        <v>0</v>
      </c>
      <c r="I333" s="21">
        <v>0</v>
      </c>
      <c r="J333" s="21">
        <v>0</v>
      </c>
      <c r="K333" s="21">
        <v>0</v>
      </c>
      <c r="L333" s="21">
        <v>0</v>
      </c>
      <c r="M333" s="21">
        <v>0</v>
      </c>
      <c r="N333" s="25"/>
      <c r="O333" s="21">
        <f t="shared" si="24"/>
        <v>0</v>
      </c>
      <c r="P333" s="21">
        <f t="shared" si="19"/>
        <v>0</v>
      </c>
      <c r="Q333" s="24"/>
      <c r="R333" s="24"/>
      <c r="S333" s="24"/>
      <c r="T333" s="25"/>
      <c r="U333" s="25"/>
      <c r="V333" s="25"/>
      <c r="W333" s="25"/>
    </row>
    <row r="334" spans="1:23" ht="15.75" customHeight="1" x14ac:dyDescent="0.25">
      <c r="A334" s="20" t="s">
        <v>6</v>
      </c>
      <c r="B334" s="21">
        <v>0</v>
      </c>
      <c r="C334" s="21">
        <v>0</v>
      </c>
      <c r="D334" s="21">
        <v>0</v>
      </c>
      <c r="E334" s="21">
        <v>0</v>
      </c>
      <c r="F334" s="21">
        <v>0</v>
      </c>
      <c r="G334" s="21">
        <v>0</v>
      </c>
      <c r="H334" s="21">
        <v>0</v>
      </c>
      <c r="I334" s="21">
        <v>0</v>
      </c>
      <c r="J334" s="21">
        <v>0</v>
      </c>
      <c r="K334" s="21">
        <v>0</v>
      </c>
      <c r="L334" s="21">
        <v>0</v>
      </c>
      <c r="M334" s="21">
        <v>0</v>
      </c>
      <c r="N334" s="25"/>
      <c r="O334" s="21">
        <f t="shared" si="24"/>
        <v>0</v>
      </c>
      <c r="P334" s="21">
        <f t="shared" si="19"/>
        <v>0</v>
      </c>
      <c r="Q334" s="24"/>
      <c r="R334" s="24"/>
      <c r="S334" s="24"/>
      <c r="T334" s="25"/>
      <c r="U334" s="25"/>
      <c r="V334" s="25"/>
      <c r="W334" s="25"/>
    </row>
    <row r="335" spans="1:23" ht="15.75" customHeight="1" x14ac:dyDescent="0.25">
      <c r="A335" s="14" t="s">
        <v>10</v>
      </c>
      <c r="B335" s="15">
        <v>0</v>
      </c>
      <c r="C335" s="15">
        <v>0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56">
        <v>0</v>
      </c>
      <c r="J335" s="56">
        <v>0</v>
      </c>
      <c r="K335" s="56">
        <v>0</v>
      </c>
      <c r="L335" s="56">
        <v>0</v>
      </c>
      <c r="M335" s="56">
        <v>0</v>
      </c>
      <c r="N335" s="25"/>
      <c r="O335" s="15"/>
      <c r="P335" s="21"/>
      <c r="Q335" s="24"/>
      <c r="R335" s="24"/>
      <c r="S335" s="24"/>
      <c r="T335" s="25"/>
      <c r="U335" s="25"/>
      <c r="V335" s="25"/>
      <c r="W335" s="25"/>
    </row>
    <row r="336" spans="1:23" ht="15.75" customHeight="1" x14ac:dyDescent="0.25">
      <c r="A336" s="20" t="s">
        <v>4</v>
      </c>
      <c r="B336" s="21">
        <v>0</v>
      </c>
      <c r="C336" s="21">
        <v>0</v>
      </c>
      <c r="D336" s="21">
        <v>0</v>
      </c>
      <c r="E336" s="21">
        <v>0</v>
      </c>
      <c r="F336" s="21">
        <v>0</v>
      </c>
      <c r="G336" s="21">
        <v>0</v>
      </c>
      <c r="H336" s="21">
        <v>0</v>
      </c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5"/>
      <c r="O336" s="21">
        <f t="shared" si="24"/>
        <v>0</v>
      </c>
      <c r="P336" s="21">
        <f t="shared" si="19"/>
        <v>0</v>
      </c>
      <c r="Q336" s="24"/>
      <c r="R336" s="24"/>
      <c r="S336" s="24"/>
      <c r="T336" s="25"/>
      <c r="U336" s="25"/>
      <c r="V336" s="25"/>
      <c r="W336" s="25"/>
    </row>
    <row r="337" spans="1:23" ht="15.75" customHeight="1" x14ac:dyDescent="0.25">
      <c r="A337" s="20" t="s">
        <v>5</v>
      </c>
      <c r="B337" s="21">
        <v>0</v>
      </c>
      <c r="C337" s="21">
        <v>0</v>
      </c>
      <c r="D337" s="21">
        <v>0</v>
      </c>
      <c r="E337" s="21">
        <v>0</v>
      </c>
      <c r="F337" s="21"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5"/>
      <c r="O337" s="21">
        <f t="shared" si="24"/>
        <v>0</v>
      </c>
      <c r="P337" s="21">
        <f t="shared" si="19"/>
        <v>0</v>
      </c>
      <c r="Q337" s="24"/>
      <c r="R337" s="24"/>
      <c r="S337" s="24"/>
      <c r="T337" s="25"/>
      <c r="U337" s="25"/>
      <c r="V337" s="25"/>
      <c r="W337" s="25"/>
    </row>
    <row r="338" spans="1:23" ht="15.75" customHeight="1" x14ac:dyDescent="0.25">
      <c r="A338" s="20" t="s">
        <v>6</v>
      </c>
      <c r="B338" s="21">
        <v>0</v>
      </c>
      <c r="C338" s="21">
        <v>0</v>
      </c>
      <c r="D338" s="21">
        <v>0</v>
      </c>
      <c r="E338" s="21">
        <v>0</v>
      </c>
      <c r="F338" s="21">
        <v>0</v>
      </c>
      <c r="G338" s="21">
        <v>0</v>
      </c>
      <c r="H338" s="21">
        <v>0</v>
      </c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5"/>
      <c r="O338" s="21">
        <f t="shared" si="24"/>
        <v>0</v>
      </c>
      <c r="P338" s="21">
        <f t="shared" si="19"/>
        <v>0</v>
      </c>
      <c r="Q338" s="24"/>
      <c r="R338" s="24"/>
      <c r="S338" s="24"/>
      <c r="T338" s="25"/>
      <c r="U338" s="25"/>
      <c r="V338" s="25"/>
      <c r="W338" s="25"/>
    </row>
    <row r="339" spans="1:23" ht="15.75" customHeight="1" x14ac:dyDescent="0.25">
      <c r="A339" s="31" t="s">
        <v>11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56">
        <v>0</v>
      </c>
      <c r="J339" s="56">
        <v>0</v>
      </c>
      <c r="K339" s="56">
        <v>0</v>
      </c>
      <c r="L339" s="56">
        <v>0</v>
      </c>
      <c r="M339" s="56">
        <v>0</v>
      </c>
      <c r="N339" s="25"/>
      <c r="O339" s="15"/>
      <c r="P339" s="15"/>
      <c r="Q339" s="24"/>
      <c r="R339" s="24"/>
      <c r="S339" s="24"/>
      <c r="T339" s="25"/>
      <c r="U339" s="25"/>
      <c r="V339" s="25"/>
      <c r="W339" s="25"/>
    </row>
    <row r="340" spans="1:23" ht="15.75" customHeight="1" x14ac:dyDescent="0.25">
      <c r="A340" s="32" t="s">
        <v>4</v>
      </c>
      <c r="B340" s="21">
        <v>0</v>
      </c>
      <c r="C340" s="21">
        <v>0</v>
      </c>
      <c r="D340" s="21">
        <v>0</v>
      </c>
      <c r="E340" s="21">
        <v>0</v>
      </c>
      <c r="F340" s="21">
        <v>0</v>
      </c>
      <c r="G340" s="21">
        <v>0</v>
      </c>
      <c r="H340" s="21">
        <v>0</v>
      </c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5"/>
      <c r="O340" s="21">
        <f t="shared" si="24"/>
        <v>0</v>
      </c>
      <c r="P340" s="21">
        <f t="shared" si="19"/>
        <v>0</v>
      </c>
      <c r="Q340" s="24"/>
      <c r="R340" s="24"/>
      <c r="S340" s="24"/>
      <c r="T340" s="25"/>
      <c r="U340" s="25"/>
      <c r="V340" s="25"/>
      <c r="W340" s="25"/>
    </row>
    <row r="341" spans="1:23" ht="15.75" customHeight="1" x14ac:dyDescent="0.25">
      <c r="A341" s="20" t="s">
        <v>5</v>
      </c>
      <c r="B341" s="21">
        <v>0</v>
      </c>
      <c r="C341" s="21">
        <v>0</v>
      </c>
      <c r="D341" s="21">
        <v>0</v>
      </c>
      <c r="E341" s="21">
        <v>0</v>
      </c>
      <c r="F341" s="21">
        <v>0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5"/>
      <c r="O341" s="21">
        <f t="shared" si="24"/>
        <v>0</v>
      </c>
      <c r="P341" s="21">
        <f t="shared" si="19"/>
        <v>0</v>
      </c>
      <c r="Q341" s="24"/>
      <c r="R341" s="24"/>
      <c r="S341" s="24"/>
      <c r="T341" s="25"/>
      <c r="U341" s="25"/>
      <c r="V341" s="25"/>
      <c r="W341" s="25"/>
    </row>
    <row r="342" spans="1:23" ht="15.75" customHeight="1" x14ac:dyDescent="0.25">
      <c r="A342" s="32" t="s">
        <v>6</v>
      </c>
      <c r="B342" s="21">
        <v>0</v>
      </c>
      <c r="C342" s="21">
        <v>0</v>
      </c>
      <c r="D342" s="21">
        <v>0</v>
      </c>
      <c r="E342" s="21">
        <v>0</v>
      </c>
      <c r="F342" s="21">
        <v>0</v>
      </c>
      <c r="G342" s="21">
        <v>0</v>
      </c>
      <c r="H342" s="21">
        <v>0</v>
      </c>
      <c r="I342" s="21">
        <v>0</v>
      </c>
      <c r="J342" s="21">
        <v>0</v>
      </c>
      <c r="K342" s="21">
        <v>0</v>
      </c>
      <c r="L342" s="21">
        <v>0</v>
      </c>
      <c r="M342" s="21">
        <v>0</v>
      </c>
      <c r="N342" s="25"/>
      <c r="O342" s="21">
        <f t="shared" si="24"/>
        <v>0</v>
      </c>
      <c r="P342" s="21">
        <f t="shared" si="19"/>
        <v>0</v>
      </c>
      <c r="Q342" s="24"/>
      <c r="R342" s="24"/>
      <c r="S342" s="24"/>
      <c r="T342" s="25"/>
      <c r="U342" s="25"/>
      <c r="V342" s="25"/>
      <c r="W342" s="25"/>
    </row>
    <row r="343" spans="1:23" ht="15.75" customHeight="1" x14ac:dyDescent="0.25">
      <c r="A343" s="32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5"/>
      <c r="O343" s="21"/>
      <c r="P343" s="21"/>
      <c r="Q343" s="24"/>
      <c r="R343" s="24"/>
      <c r="S343" s="24"/>
      <c r="T343" s="25"/>
      <c r="U343" s="25"/>
      <c r="V343" s="25"/>
      <c r="W343" s="25"/>
    </row>
    <row r="344" spans="1:23" ht="15.75" customHeight="1" x14ac:dyDescent="0.25">
      <c r="A344" s="12" t="s">
        <v>48</v>
      </c>
      <c r="B344" s="33"/>
      <c r="C344" s="39"/>
      <c r="D344" s="39"/>
      <c r="E344" s="39"/>
      <c r="F344" s="33"/>
      <c r="G344" s="21"/>
      <c r="H344" s="21"/>
      <c r="I344" s="21"/>
      <c r="J344" s="21"/>
      <c r="K344" s="21"/>
      <c r="L344" s="21"/>
      <c r="M344" s="21"/>
      <c r="N344" s="25"/>
      <c r="O344" s="21"/>
      <c r="P344" s="21"/>
      <c r="Q344" s="24"/>
      <c r="R344" s="24"/>
      <c r="S344" s="24"/>
      <c r="T344" s="25"/>
      <c r="U344" s="25"/>
      <c r="V344" s="25"/>
      <c r="W344" s="25"/>
    </row>
    <row r="345" spans="1:23" ht="15.75" customHeight="1" x14ac:dyDescent="0.25">
      <c r="A345" s="14" t="s">
        <v>3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56">
        <v>162</v>
      </c>
      <c r="I345" s="56">
        <v>162</v>
      </c>
      <c r="J345" s="56">
        <v>162</v>
      </c>
      <c r="K345" s="56">
        <v>162</v>
      </c>
      <c r="L345" s="56">
        <v>162</v>
      </c>
      <c r="M345" s="56">
        <v>162</v>
      </c>
      <c r="N345" s="25"/>
      <c r="O345" s="15"/>
      <c r="P345" s="21"/>
      <c r="Q345" s="24"/>
      <c r="R345" s="24"/>
      <c r="S345" s="24"/>
      <c r="T345" s="25"/>
      <c r="U345" s="25"/>
      <c r="V345" s="25"/>
      <c r="W345" s="25"/>
    </row>
    <row r="346" spans="1:23" ht="15.75" customHeight="1" x14ac:dyDescent="0.25">
      <c r="A346" s="20" t="s">
        <v>4</v>
      </c>
      <c r="B346" s="21">
        <v>0</v>
      </c>
      <c r="C346" s="21">
        <v>0</v>
      </c>
      <c r="D346" s="21">
        <v>0</v>
      </c>
      <c r="E346" s="21">
        <v>0</v>
      </c>
      <c r="F346" s="21">
        <v>0</v>
      </c>
      <c r="G346" s="21">
        <v>0</v>
      </c>
      <c r="H346" s="21">
        <v>1400260.4</v>
      </c>
      <c r="I346" s="21">
        <v>4929604.8000000007</v>
      </c>
      <c r="J346" s="21">
        <v>7180269.2999999998</v>
      </c>
      <c r="K346" s="21">
        <v>9000852.7799999993</v>
      </c>
      <c r="L346" s="21">
        <v>7446549.3499999996</v>
      </c>
      <c r="M346" s="21">
        <v>9239780.9000000004</v>
      </c>
      <c r="N346" s="25"/>
      <c r="O346" s="21">
        <f>SUM(B346:M346)</f>
        <v>39197317.530000001</v>
      </c>
      <c r="P346" s="21">
        <f t="shared" ref="P346:P348" si="25">O346+Q346</f>
        <v>39197317.530000001</v>
      </c>
      <c r="Q346" s="24"/>
      <c r="R346" s="24"/>
      <c r="S346" s="24"/>
      <c r="T346" s="25"/>
      <c r="U346" s="25"/>
      <c r="V346" s="25"/>
      <c r="W346" s="25"/>
    </row>
    <row r="347" spans="1:23" ht="15.75" customHeight="1" x14ac:dyDescent="0.25">
      <c r="A347" s="20" t="s">
        <v>5</v>
      </c>
      <c r="B347" s="21">
        <v>0</v>
      </c>
      <c r="C347" s="21">
        <v>0</v>
      </c>
      <c r="D347" s="21">
        <v>0</v>
      </c>
      <c r="E347" s="21">
        <v>0</v>
      </c>
      <c r="F347" s="21">
        <v>0</v>
      </c>
      <c r="G347" s="21">
        <v>0</v>
      </c>
      <c r="H347" s="21">
        <v>196036.47000000003</v>
      </c>
      <c r="I347" s="21">
        <v>690144.68</v>
      </c>
      <c r="J347" s="21">
        <v>1005237.73</v>
      </c>
      <c r="K347" s="21">
        <v>1260119.4099999999</v>
      </c>
      <c r="L347" s="21">
        <v>1042516.9</v>
      </c>
      <c r="M347" s="21">
        <v>1293569.3399999999</v>
      </c>
      <c r="N347" s="25"/>
      <c r="O347" s="21">
        <f>SUM(B347:M347)</f>
        <v>5487624.5299999993</v>
      </c>
      <c r="P347" s="21">
        <f t="shared" si="25"/>
        <v>5487624.5299999993</v>
      </c>
      <c r="Q347" s="24"/>
      <c r="R347" s="24"/>
      <c r="S347" s="24"/>
      <c r="T347" s="25"/>
      <c r="U347" s="25"/>
      <c r="V347" s="25"/>
      <c r="W347" s="25"/>
    </row>
    <row r="348" spans="1:23" ht="15.75" customHeight="1" x14ac:dyDescent="0.25">
      <c r="A348" s="20" t="s">
        <v>6</v>
      </c>
      <c r="B348" s="21">
        <v>0</v>
      </c>
      <c r="C348" s="21">
        <v>0</v>
      </c>
      <c r="D348" s="21">
        <v>0</v>
      </c>
      <c r="E348" s="21">
        <v>0</v>
      </c>
      <c r="F348" s="21">
        <v>0</v>
      </c>
      <c r="G348" s="21">
        <v>0</v>
      </c>
      <c r="H348" s="21">
        <v>28005.22</v>
      </c>
      <c r="I348" s="21">
        <v>98592.099999999977</v>
      </c>
      <c r="J348" s="21">
        <v>143605.41</v>
      </c>
      <c r="K348" s="21">
        <v>180017.08000000002</v>
      </c>
      <c r="L348" s="21">
        <v>148930.97999999998</v>
      </c>
      <c r="M348" s="21">
        <v>184795.63999999998</v>
      </c>
      <c r="N348" s="25"/>
      <c r="O348" s="21">
        <f>SUM(B348:M348)</f>
        <v>783946.43</v>
      </c>
      <c r="P348" s="21">
        <f t="shared" si="25"/>
        <v>783946.43</v>
      </c>
      <c r="Q348" s="24"/>
      <c r="R348" s="24"/>
      <c r="S348" s="24"/>
      <c r="T348" s="25"/>
      <c r="U348" s="25"/>
      <c r="V348" s="25"/>
      <c r="W348" s="25"/>
    </row>
    <row r="349" spans="1:23" ht="15.75" customHeight="1" x14ac:dyDescent="0.25">
      <c r="A349" s="14" t="s">
        <v>7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30</v>
      </c>
      <c r="I349" s="56">
        <v>30</v>
      </c>
      <c r="J349" s="56">
        <v>30</v>
      </c>
      <c r="K349" s="56">
        <v>30</v>
      </c>
      <c r="L349" s="56">
        <v>30</v>
      </c>
      <c r="M349" s="56">
        <v>30</v>
      </c>
      <c r="N349" s="25"/>
      <c r="O349" s="15"/>
      <c r="P349" s="21"/>
      <c r="Q349" s="24"/>
      <c r="R349" s="24"/>
      <c r="S349" s="24"/>
      <c r="T349" s="25"/>
      <c r="U349" s="25"/>
      <c r="V349" s="25"/>
      <c r="W349" s="25"/>
    </row>
    <row r="350" spans="1:23" ht="15.75" customHeight="1" x14ac:dyDescent="0.25">
      <c r="A350" s="20" t="s">
        <v>4</v>
      </c>
      <c r="B350" s="21">
        <v>0</v>
      </c>
      <c r="C350" s="21">
        <v>0</v>
      </c>
      <c r="D350" s="21">
        <v>0</v>
      </c>
      <c r="E350" s="21">
        <v>0</v>
      </c>
      <c r="F350" s="21">
        <v>0</v>
      </c>
      <c r="G350" s="21">
        <v>0</v>
      </c>
      <c r="H350" s="21">
        <v>33965</v>
      </c>
      <c r="I350" s="21">
        <v>284320</v>
      </c>
      <c r="J350" s="21">
        <v>402567</v>
      </c>
      <c r="K350" s="21">
        <v>447480</v>
      </c>
      <c r="L350" s="21">
        <v>502621</v>
      </c>
      <c r="M350" s="21">
        <v>422738</v>
      </c>
      <c r="N350" s="25"/>
      <c r="O350" s="21">
        <f>SUM(B350:M350)</f>
        <v>2093691</v>
      </c>
      <c r="P350" s="21">
        <f t="shared" ref="P350:P352" si="26">O350+Q350</f>
        <v>2093691</v>
      </c>
      <c r="Q350" s="24"/>
      <c r="R350" s="24"/>
      <c r="S350" s="24"/>
      <c r="T350" s="25"/>
      <c r="U350" s="25"/>
      <c r="V350" s="25"/>
      <c r="W350" s="25"/>
    </row>
    <row r="351" spans="1:23" ht="15.75" customHeight="1" x14ac:dyDescent="0.25">
      <c r="A351" s="20" t="s">
        <v>5</v>
      </c>
      <c r="B351" s="21">
        <v>0</v>
      </c>
      <c r="C351" s="21">
        <v>0</v>
      </c>
      <c r="D351" s="21">
        <v>0</v>
      </c>
      <c r="E351" s="21">
        <v>0</v>
      </c>
      <c r="F351" s="21">
        <v>0</v>
      </c>
      <c r="G351" s="21">
        <v>0</v>
      </c>
      <c r="H351" s="21">
        <v>4755.1000000000004</v>
      </c>
      <c r="I351" s="21">
        <v>39804.799999999996</v>
      </c>
      <c r="J351" s="21">
        <v>56359.380000000005</v>
      </c>
      <c r="K351" s="21">
        <v>62647.199999999997</v>
      </c>
      <c r="L351" s="21">
        <v>70366.94</v>
      </c>
      <c r="M351" s="21">
        <v>59183.32</v>
      </c>
      <c r="N351" s="25"/>
      <c r="O351" s="21">
        <f>SUM(B351:M351)</f>
        <v>293116.74</v>
      </c>
      <c r="P351" s="21">
        <f t="shared" si="26"/>
        <v>293116.74</v>
      </c>
      <c r="Q351" s="24"/>
      <c r="R351" s="24"/>
      <c r="S351" s="24"/>
      <c r="T351" s="25"/>
      <c r="U351" s="25"/>
      <c r="V351" s="25"/>
      <c r="W351" s="25"/>
    </row>
    <row r="352" spans="1:23" ht="15.75" customHeight="1" x14ac:dyDescent="0.25">
      <c r="A352" s="20" t="s">
        <v>6</v>
      </c>
      <c r="B352" s="21">
        <v>0</v>
      </c>
      <c r="C352" s="21">
        <v>0</v>
      </c>
      <c r="D352" s="21">
        <v>0</v>
      </c>
      <c r="E352" s="21">
        <v>0</v>
      </c>
      <c r="F352" s="21">
        <v>0</v>
      </c>
      <c r="G352" s="21">
        <v>0</v>
      </c>
      <c r="H352" s="21">
        <v>679.3</v>
      </c>
      <c r="I352" s="21">
        <v>5686.4000000000005</v>
      </c>
      <c r="J352" s="21">
        <v>8051.3399999999992</v>
      </c>
      <c r="K352" s="21">
        <v>8949.6</v>
      </c>
      <c r="L352" s="21">
        <v>10052.419999999998</v>
      </c>
      <c r="M352" s="21">
        <v>8454.76</v>
      </c>
      <c r="N352" s="25"/>
      <c r="O352" s="21">
        <f>SUM(B352:M352)</f>
        <v>41873.82</v>
      </c>
      <c r="P352" s="21">
        <f t="shared" si="26"/>
        <v>41873.82</v>
      </c>
      <c r="Q352" s="24"/>
      <c r="R352" s="24"/>
      <c r="S352" s="24"/>
      <c r="T352" s="25"/>
      <c r="U352" s="25"/>
      <c r="V352" s="25"/>
      <c r="W352" s="25"/>
    </row>
    <row r="353" spans="1:23" ht="15.75" customHeight="1" x14ac:dyDescent="0.25">
      <c r="A353" s="14" t="s">
        <v>8</v>
      </c>
      <c r="B353" s="15">
        <v>0</v>
      </c>
      <c r="C353" s="15">
        <v>0</v>
      </c>
      <c r="D353" s="15">
        <v>0</v>
      </c>
      <c r="E353" s="15">
        <v>0</v>
      </c>
      <c r="F353" s="15">
        <v>0</v>
      </c>
      <c r="G353" s="15">
        <v>0</v>
      </c>
      <c r="H353" s="56">
        <v>118</v>
      </c>
      <c r="I353" s="56">
        <v>118</v>
      </c>
      <c r="J353" s="56">
        <v>118</v>
      </c>
      <c r="K353" s="56">
        <v>118</v>
      </c>
      <c r="L353" s="56">
        <v>118</v>
      </c>
      <c r="M353" s="56">
        <v>118</v>
      </c>
      <c r="N353" s="25"/>
      <c r="O353" s="15"/>
      <c r="P353" s="21"/>
      <c r="Q353" s="24"/>
      <c r="R353" s="24"/>
      <c r="S353" s="24"/>
      <c r="T353" s="25"/>
      <c r="U353" s="25"/>
      <c r="V353" s="25"/>
      <c r="W353" s="25"/>
    </row>
    <row r="354" spans="1:23" ht="15.75" customHeight="1" x14ac:dyDescent="0.25">
      <c r="A354" s="20" t="s">
        <v>4</v>
      </c>
      <c r="B354" s="21">
        <v>0</v>
      </c>
      <c r="C354" s="21">
        <v>0</v>
      </c>
      <c r="D354" s="21">
        <v>0</v>
      </c>
      <c r="E354" s="21">
        <v>0</v>
      </c>
      <c r="F354" s="21">
        <v>0</v>
      </c>
      <c r="G354" s="21">
        <v>0</v>
      </c>
      <c r="H354" s="21">
        <v>1374008.25</v>
      </c>
      <c r="I354" s="21">
        <v>4449103</v>
      </c>
      <c r="J354" s="21">
        <v>6493391.5</v>
      </c>
      <c r="K354" s="21">
        <v>8373099.8799999999</v>
      </c>
      <c r="L354" s="21">
        <v>6673482.7999999998</v>
      </c>
      <c r="M354" s="21">
        <v>8639265.75</v>
      </c>
      <c r="N354" s="25"/>
      <c r="O354" s="21">
        <f t="shared" ref="O353:O368" si="27">SUM(B354:M354)</f>
        <v>36002351.18</v>
      </c>
      <c r="P354" s="21">
        <f t="shared" ref="P354:P356" si="28">O354+Q354</f>
        <v>36002351.18</v>
      </c>
      <c r="Q354" s="24"/>
      <c r="R354" s="24"/>
      <c r="S354" s="24"/>
      <c r="T354" s="25"/>
      <c r="U354" s="25"/>
      <c r="V354" s="25"/>
      <c r="W354" s="25"/>
    </row>
    <row r="355" spans="1:23" ht="15.75" customHeight="1" x14ac:dyDescent="0.25">
      <c r="A355" s="20" t="s">
        <v>5</v>
      </c>
      <c r="B355" s="21">
        <v>0</v>
      </c>
      <c r="C355" s="21">
        <v>0</v>
      </c>
      <c r="D355" s="21">
        <v>0</v>
      </c>
      <c r="E355" s="21">
        <v>0</v>
      </c>
      <c r="F355" s="21">
        <v>0</v>
      </c>
      <c r="G355" s="21">
        <v>0</v>
      </c>
      <c r="H355" s="21">
        <v>192361.17</v>
      </c>
      <c r="I355" s="21">
        <v>622874.43000000005</v>
      </c>
      <c r="J355" s="21">
        <v>909074.83000000007</v>
      </c>
      <c r="K355" s="21">
        <v>1172233.99</v>
      </c>
      <c r="L355" s="21">
        <v>934287.59000000008</v>
      </c>
      <c r="M355" s="21">
        <v>1209497.22</v>
      </c>
      <c r="N355" s="25"/>
      <c r="O355" s="21">
        <f t="shared" si="27"/>
        <v>5040329.2299999995</v>
      </c>
      <c r="P355" s="21">
        <f t="shared" si="28"/>
        <v>5040329.2299999995</v>
      </c>
      <c r="Q355" s="24"/>
      <c r="R355" s="24"/>
      <c r="S355" s="24"/>
      <c r="T355" s="25"/>
      <c r="U355" s="25"/>
      <c r="V355" s="25"/>
      <c r="W355" s="25"/>
    </row>
    <row r="356" spans="1:23" ht="15.75" customHeight="1" x14ac:dyDescent="0.25">
      <c r="A356" s="20" t="s">
        <v>6</v>
      </c>
      <c r="B356" s="21">
        <v>0</v>
      </c>
      <c r="C356" s="21">
        <v>0</v>
      </c>
      <c r="D356" s="21">
        <v>0</v>
      </c>
      <c r="E356" s="21">
        <v>0</v>
      </c>
      <c r="F356" s="21">
        <v>0</v>
      </c>
      <c r="G356" s="21">
        <v>0</v>
      </c>
      <c r="H356" s="21">
        <v>27480.18</v>
      </c>
      <c r="I356" s="21">
        <v>88982.07</v>
      </c>
      <c r="J356" s="21">
        <v>129867.85</v>
      </c>
      <c r="K356" s="21">
        <v>167462.01</v>
      </c>
      <c r="L356" s="21">
        <v>133469.66</v>
      </c>
      <c r="M356" s="21">
        <v>172785.33</v>
      </c>
      <c r="N356" s="25"/>
      <c r="O356" s="21">
        <f t="shared" si="27"/>
        <v>720047.1</v>
      </c>
      <c r="P356" s="21">
        <f t="shared" si="28"/>
        <v>720047.1</v>
      </c>
      <c r="Q356" s="24"/>
      <c r="R356" s="24"/>
      <c r="S356" s="24"/>
      <c r="T356" s="25"/>
      <c r="U356" s="25"/>
      <c r="V356" s="25"/>
      <c r="W356" s="25"/>
    </row>
    <row r="357" spans="1:23" ht="15.75" customHeight="1" x14ac:dyDescent="0.25">
      <c r="A357" s="14" t="s">
        <v>9</v>
      </c>
      <c r="B357" s="15">
        <v>0</v>
      </c>
      <c r="C357" s="15">
        <v>0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56">
        <v>0</v>
      </c>
      <c r="J357" s="56">
        <v>0</v>
      </c>
      <c r="K357" s="56">
        <v>0</v>
      </c>
      <c r="L357" s="56">
        <v>0</v>
      </c>
      <c r="M357" s="56">
        <v>0</v>
      </c>
      <c r="N357" s="25"/>
      <c r="O357" s="15"/>
      <c r="P357" s="21"/>
      <c r="Q357" s="24"/>
      <c r="R357" s="24"/>
      <c r="S357" s="24"/>
      <c r="T357" s="25"/>
      <c r="U357" s="25"/>
      <c r="V357" s="25"/>
      <c r="W357" s="25"/>
    </row>
    <row r="358" spans="1:23" ht="15.75" customHeight="1" x14ac:dyDescent="0.25">
      <c r="A358" s="20" t="s">
        <v>4</v>
      </c>
      <c r="B358" s="21">
        <v>0</v>
      </c>
      <c r="C358" s="21">
        <v>0</v>
      </c>
      <c r="D358" s="21">
        <v>0</v>
      </c>
      <c r="E358" s="21">
        <v>0</v>
      </c>
      <c r="F358" s="21">
        <v>0</v>
      </c>
      <c r="G358" s="21">
        <v>0</v>
      </c>
      <c r="H358" s="21">
        <v>0</v>
      </c>
      <c r="I358" s="21">
        <v>0</v>
      </c>
      <c r="J358" s="21">
        <v>0</v>
      </c>
      <c r="K358" s="21">
        <v>0</v>
      </c>
      <c r="L358" s="21">
        <v>0</v>
      </c>
      <c r="M358" s="21">
        <v>0</v>
      </c>
      <c r="N358" s="25"/>
      <c r="O358" s="21">
        <f t="shared" si="27"/>
        <v>0</v>
      </c>
      <c r="P358" s="21">
        <f t="shared" ref="P358:P360" si="29">O358+Q358</f>
        <v>0</v>
      </c>
      <c r="Q358" s="24"/>
      <c r="R358" s="24"/>
      <c r="S358" s="24"/>
      <c r="T358" s="25"/>
      <c r="U358" s="25"/>
      <c r="V358" s="25"/>
      <c r="W358" s="25"/>
    </row>
    <row r="359" spans="1:23" ht="15.75" customHeight="1" x14ac:dyDescent="0.25">
      <c r="A359" s="20" t="s">
        <v>5</v>
      </c>
      <c r="B359" s="21">
        <v>0</v>
      </c>
      <c r="C359" s="21">
        <v>0</v>
      </c>
      <c r="D359" s="21">
        <v>0</v>
      </c>
      <c r="E359" s="21">
        <v>0</v>
      </c>
      <c r="F359" s="21">
        <v>0</v>
      </c>
      <c r="G359" s="21">
        <v>0</v>
      </c>
      <c r="H359" s="21">
        <v>0</v>
      </c>
      <c r="I359" s="21">
        <v>0</v>
      </c>
      <c r="J359" s="21">
        <v>0</v>
      </c>
      <c r="K359" s="21">
        <v>0</v>
      </c>
      <c r="L359" s="21">
        <v>0</v>
      </c>
      <c r="M359" s="21">
        <v>0</v>
      </c>
      <c r="N359" s="25"/>
      <c r="O359" s="21">
        <f t="shared" si="27"/>
        <v>0</v>
      </c>
      <c r="P359" s="21">
        <f t="shared" si="29"/>
        <v>0</v>
      </c>
      <c r="Q359" s="24"/>
      <c r="R359" s="24"/>
      <c r="S359" s="24"/>
      <c r="T359" s="25"/>
      <c r="U359" s="25"/>
      <c r="V359" s="25"/>
      <c r="W359" s="25"/>
    </row>
    <row r="360" spans="1:23" ht="15.75" customHeight="1" x14ac:dyDescent="0.25">
      <c r="A360" s="20" t="s">
        <v>6</v>
      </c>
      <c r="B360" s="21">
        <v>0</v>
      </c>
      <c r="C360" s="21">
        <v>0</v>
      </c>
      <c r="D360" s="21">
        <v>0</v>
      </c>
      <c r="E360" s="21">
        <v>0</v>
      </c>
      <c r="F360" s="21"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5"/>
      <c r="O360" s="21">
        <f t="shared" si="27"/>
        <v>0</v>
      </c>
      <c r="P360" s="21">
        <f t="shared" si="29"/>
        <v>0</v>
      </c>
      <c r="Q360" s="24"/>
      <c r="R360" s="24"/>
      <c r="S360" s="24"/>
      <c r="T360" s="25"/>
      <c r="U360" s="25"/>
      <c r="V360" s="25"/>
      <c r="W360" s="25"/>
    </row>
    <row r="361" spans="1:23" ht="15.75" customHeight="1" x14ac:dyDescent="0.25">
      <c r="A361" s="14" t="s">
        <v>10</v>
      </c>
      <c r="B361" s="15">
        <v>0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56">
        <v>0</v>
      </c>
      <c r="J361" s="56">
        <v>0</v>
      </c>
      <c r="K361" s="56">
        <v>0</v>
      </c>
      <c r="L361" s="56">
        <v>0</v>
      </c>
      <c r="M361" s="56">
        <v>0</v>
      </c>
      <c r="N361" s="25"/>
      <c r="O361" s="15"/>
      <c r="P361" s="21"/>
      <c r="Q361" s="24"/>
      <c r="R361" s="24"/>
      <c r="S361" s="24"/>
      <c r="T361" s="25"/>
      <c r="U361" s="25"/>
      <c r="V361" s="25"/>
      <c r="W361" s="25"/>
    </row>
    <row r="362" spans="1:23" ht="15.75" customHeight="1" x14ac:dyDescent="0.25">
      <c r="A362" s="20" t="s">
        <v>4</v>
      </c>
      <c r="B362" s="21">
        <v>0</v>
      </c>
      <c r="C362" s="21">
        <v>0</v>
      </c>
      <c r="D362" s="21">
        <v>0</v>
      </c>
      <c r="E362" s="21">
        <v>0</v>
      </c>
      <c r="F362" s="21"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5"/>
      <c r="O362" s="21">
        <f t="shared" si="27"/>
        <v>0</v>
      </c>
      <c r="P362" s="21">
        <f t="shared" ref="P362:P364" si="30">O362+Q362</f>
        <v>0</v>
      </c>
      <c r="Q362" s="24"/>
      <c r="R362" s="24"/>
      <c r="S362" s="24"/>
      <c r="T362" s="25"/>
      <c r="U362" s="25"/>
      <c r="V362" s="25"/>
      <c r="W362" s="25"/>
    </row>
    <row r="363" spans="1:23" ht="15.75" customHeight="1" x14ac:dyDescent="0.25">
      <c r="A363" s="20" t="s">
        <v>5</v>
      </c>
      <c r="B363" s="21">
        <v>0</v>
      </c>
      <c r="C363" s="21">
        <v>0</v>
      </c>
      <c r="D363" s="21">
        <v>0</v>
      </c>
      <c r="E363" s="21">
        <v>0</v>
      </c>
      <c r="F363" s="21"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5"/>
      <c r="O363" s="21">
        <f t="shared" si="27"/>
        <v>0</v>
      </c>
      <c r="P363" s="21">
        <f t="shared" si="30"/>
        <v>0</v>
      </c>
      <c r="Q363" s="24"/>
      <c r="R363" s="24"/>
      <c r="S363" s="24"/>
      <c r="T363" s="25"/>
      <c r="U363" s="25"/>
      <c r="V363" s="25"/>
      <c r="W363" s="25"/>
    </row>
    <row r="364" spans="1:23" ht="15.75" customHeight="1" x14ac:dyDescent="0.25">
      <c r="A364" s="20" t="s">
        <v>6</v>
      </c>
      <c r="B364" s="21">
        <v>0</v>
      </c>
      <c r="C364" s="21">
        <v>0</v>
      </c>
      <c r="D364" s="21">
        <v>0</v>
      </c>
      <c r="E364" s="21">
        <v>0</v>
      </c>
      <c r="F364" s="21"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5"/>
      <c r="O364" s="21">
        <f t="shared" si="27"/>
        <v>0</v>
      </c>
      <c r="P364" s="21">
        <f t="shared" si="30"/>
        <v>0</v>
      </c>
      <c r="Q364" s="24"/>
      <c r="R364" s="24"/>
      <c r="S364" s="24"/>
      <c r="T364" s="25"/>
      <c r="U364" s="25"/>
      <c r="V364" s="25"/>
      <c r="W364" s="25"/>
    </row>
    <row r="365" spans="1:23" ht="15.75" customHeight="1" x14ac:dyDescent="0.25">
      <c r="A365" s="31" t="s">
        <v>11</v>
      </c>
      <c r="B365" s="15">
        <v>0</v>
      </c>
      <c r="C365" s="15">
        <v>0</v>
      </c>
      <c r="D365" s="15">
        <v>0</v>
      </c>
      <c r="E365" s="15">
        <v>0</v>
      </c>
      <c r="F365" s="15">
        <v>0</v>
      </c>
      <c r="G365" s="15">
        <v>0</v>
      </c>
      <c r="H365" s="15">
        <v>14</v>
      </c>
      <c r="I365" s="56">
        <v>14</v>
      </c>
      <c r="J365" s="56">
        <v>14</v>
      </c>
      <c r="K365" s="56">
        <v>14</v>
      </c>
      <c r="L365" s="56">
        <v>14</v>
      </c>
      <c r="M365" s="56">
        <v>14</v>
      </c>
      <c r="N365" s="25"/>
      <c r="O365" s="15"/>
      <c r="P365" s="15"/>
      <c r="Q365" s="24"/>
      <c r="R365" s="24"/>
      <c r="S365" s="24"/>
      <c r="T365" s="25"/>
      <c r="U365" s="25"/>
      <c r="V365" s="25"/>
      <c r="W365" s="25"/>
    </row>
    <row r="366" spans="1:23" ht="15.75" customHeight="1" x14ac:dyDescent="0.25">
      <c r="A366" s="32" t="s">
        <v>4</v>
      </c>
      <c r="B366" s="21">
        <v>0</v>
      </c>
      <c r="C366" s="21">
        <v>0</v>
      </c>
      <c r="D366" s="21">
        <v>0</v>
      </c>
      <c r="E366" s="21">
        <v>0</v>
      </c>
      <c r="F366" s="21">
        <v>0</v>
      </c>
      <c r="G366" s="21">
        <v>0</v>
      </c>
      <c r="H366" s="37">
        <v>-7712.85</v>
      </c>
      <c r="I366" s="21">
        <v>196181.80000000002</v>
      </c>
      <c r="J366" s="21">
        <v>284310.8</v>
      </c>
      <c r="K366" s="21">
        <v>180272.9</v>
      </c>
      <c r="L366" s="21">
        <v>270445.55</v>
      </c>
      <c r="M366" s="21">
        <v>177777.14999999997</v>
      </c>
      <c r="N366" s="25"/>
      <c r="O366" s="21">
        <f t="shared" si="27"/>
        <v>1101275.3499999999</v>
      </c>
      <c r="P366" s="21">
        <f t="shared" ref="P366:P368" si="31">O366+Q366</f>
        <v>1101275.3499999999</v>
      </c>
      <c r="Q366" s="24"/>
      <c r="R366" s="24"/>
      <c r="S366" s="24"/>
      <c r="T366" s="25"/>
      <c r="U366" s="25"/>
      <c r="V366" s="25"/>
      <c r="W366" s="25"/>
    </row>
    <row r="367" spans="1:23" ht="15.75" customHeight="1" x14ac:dyDescent="0.25">
      <c r="A367" s="20" t="s">
        <v>5</v>
      </c>
      <c r="B367" s="21">
        <v>0</v>
      </c>
      <c r="C367" s="21">
        <v>0</v>
      </c>
      <c r="D367" s="21">
        <v>0</v>
      </c>
      <c r="E367" s="21">
        <v>0</v>
      </c>
      <c r="F367" s="21">
        <v>0</v>
      </c>
      <c r="G367" s="21">
        <v>0</v>
      </c>
      <c r="H367" s="37">
        <v>-1079.8</v>
      </c>
      <c r="I367" s="21">
        <v>27465.449999999997</v>
      </c>
      <c r="J367" s="21">
        <v>39803.520000000004</v>
      </c>
      <c r="K367" s="21">
        <v>25238.22</v>
      </c>
      <c r="L367" s="21">
        <v>37862.369999999995</v>
      </c>
      <c r="M367" s="21">
        <v>24888.799999999996</v>
      </c>
      <c r="N367" s="25"/>
      <c r="O367" s="21">
        <f t="shared" si="27"/>
        <v>154178.56</v>
      </c>
      <c r="P367" s="21">
        <f t="shared" si="31"/>
        <v>154178.56</v>
      </c>
      <c r="Q367" s="24"/>
      <c r="R367" s="24"/>
      <c r="S367" s="24"/>
      <c r="T367" s="25"/>
      <c r="U367" s="25"/>
      <c r="V367" s="25"/>
      <c r="W367" s="25"/>
    </row>
    <row r="368" spans="1:23" ht="15.75" customHeight="1" x14ac:dyDescent="0.25">
      <c r="A368" s="32" t="s">
        <v>6</v>
      </c>
      <c r="B368" s="21">
        <v>0</v>
      </c>
      <c r="C368" s="21">
        <v>0</v>
      </c>
      <c r="D368" s="21">
        <v>0</v>
      </c>
      <c r="E368" s="21">
        <v>0</v>
      </c>
      <c r="F368" s="21">
        <v>0</v>
      </c>
      <c r="G368" s="21">
        <v>0</v>
      </c>
      <c r="H368" s="37">
        <v>-154.26</v>
      </c>
      <c r="I368" s="21">
        <v>3923.63</v>
      </c>
      <c r="J368" s="21">
        <v>5686.22</v>
      </c>
      <c r="K368" s="21">
        <v>3605.47</v>
      </c>
      <c r="L368" s="21">
        <v>5408.9</v>
      </c>
      <c r="M368" s="21">
        <v>3555.5499999999997</v>
      </c>
      <c r="N368" s="25"/>
      <c r="O368" s="21">
        <f t="shared" si="27"/>
        <v>22025.51</v>
      </c>
      <c r="P368" s="21">
        <f t="shared" si="31"/>
        <v>22025.51</v>
      </c>
      <c r="Q368" s="24"/>
      <c r="R368" s="24"/>
      <c r="S368" s="24"/>
      <c r="T368" s="25"/>
      <c r="U368" s="25"/>
      <c r="V368" s="25"/>
      <c r="W368" s="25"/>
    </row>
    <row r="369" spans="1:23" ht="15.75" customHeight="1" x14ac:dyDescent="0.25">
      <c r="A369" s="20"/>
      <c r="B369" s="15"/>
      <c r="C369" s="39"/>
      <c r="D369" s="39"/>
      <c r="E369" s="15"/>
      <c r="F369" s="15"/>
      <c r="G369" s="15"/>
      <c r="H369" s="25"/>
      <c r="I369" s="15"/>
      <c r="J369" s="33"/>
      <c r="K369" s="34"/>
      <c r="L369" s="21"/>
      <c r="M369" s="21"/>
      <c r="N369" s="25"/>
      <c r="O369" s="33"/>
      <c r="P369" s="21"/>
      <c r="Q369" s="24"/>
      <c r="R369" s="24"/>
      <c r="S369" s="24"/>
      <c r="T369" s="25"/>
      <c r="U369" s="25"/>
      <c r="V369" s="25"/>
      <c r="W369" s="25"/>
    </row>
    <row r="370" spans="1:23" ht="15.75" customHeight="1" x14ac:dyDescent="0.25">
      <c r="A370" s="13" t="s">
        <v>20</v>
      </c>
      <c r="B370" s="33"/>
      <c r="C370" s="21"/>
      <c r="D370" s="21"/>
      <c r="E370" s="33"/>
      <c r="F370" s="33"/>
      <c r="G370" s="55"/>
      <c r="H370" s="25"/>
      <c r="I370" s="33"/>
      <c r="J370" s="33"/>
      <c r="K370" s="34"/>
      <c r="L370" s="21"/>
      <c r="M370" s="21"/>
      <c r="N370" s="25"/>
      <c r="O370" s="33"/>
      <c r="P370" s="21"/>
      <c r="Q370" s="24"/>
      <c r="R370" s="24"/>
      <c r="S370" s="24"/>
      <c r="T370" s="25"/>
      <c r="U370" s="25"/>
      <c r="V370" s="25"/>
      <c r="W370" s="25"/>
    </row>
    <row r="371" spans="1:23" ht="15.75" customHeight="1" x14ac:dyDescent="0.25">
      <c r="A371" s="14" t="s">
        <v>3</v>
      </c>
      <c r="B371" s="40">
        <v>1172.8</v>
      </c>
      <c r="C371" s="40">
        <v>1174.5999999999999</v>
      </c>
      <c r="D371" s="41">
        <v>1175.5999999999999</v>
      </c>
      <c r="E371" s="40">
        <v>1153.2</v>
      </c>
      <c r="F371" s="40">
        <v>1127.2</v>
      </c>
      <c r="G371" s="40">
        <v>1221</v>
      </c>
      <c r="H371" s="40">
        <v>1372.75</v>
      </c>
      <c r="I371" s="40">
        <v>1380.25</v>
      </c>
      <c r="J371" s="40">
        <v>1365</v>
      </c>
      <c r="K371" s="42">
        <v>1374.8</v>
      </c>
      <c r="L371" s="41">
        <v>1349.6666666666667</v>
      </c>
      <c r="M371" s="41">
        <v>1363.6</v>
      </c>
      <c r="N371" s="25"/>
      <c r="O371" s="15"/>
      <c r="P371" s="21"/>
      <c r="Q371" s="24"/>
      <c r="R371" s="24"/>
      <c r="S371" s="24"/>
      <c r="T371" s="25"/>
      <c r="U371" s="25"/>
      <c r="V371" s="25"/>
      <c r="W371" s="25"/>
    </row>
    <row r="372" spans="1:23" ht="15.75" customHeight="1" x14ac:dyDescent="0.25">
      <c r="A372" s="20" t="s">
        <v>4</v>
      </c>
      <c r="B372" s="21">
        <v>52512448.270000003</v>
      </c>
      <c r="C372" s="21">
        <v>65119689.160000004</v>
      </c>
      <c r="D372" s="54">
        <v>59159254.980000004</v>
      </c>
      <c r="E372" s="21">
        <v>63335846.239999995</v>
      </c>
      <c r="F372" s="21">
        <v>52336318.329999991</v>
      </c>
      <c r="G372" s="21">
        <v>17057943.079999998</v>
      </c>
      <c r="H372" s="21">
        <v>50829570.739999995</v>
      </c>
      <c r="I372" s="21">
        <v>57399564.010000005</v>
      </c>
      <c r="J372" s="21">
        <v>71358264.600000009</v>
      </c>
      <c r="K372" s="22">
        <v>77839427.269999996</v>
      </c>
      <c r="L372" s="21">
        <v>77229031.290000007</v>
      </c>
      <c r="M372" s="21">
        <v>77586113.49000001</v>
      </c>
      <c r="N372" s="25"/>
      <c r="O372" s="21">
        <f>SUM(B372:M372)</f>
        <v>721763471.46000004</v>
      </c>
      <c r="P372" s="21">
        <f t="shared" si="19"/>
        <v>8249156075.3671427</v>
      </c>
      <c r="Q372" s="24">
        <v>7527392603.9071426</v>
      </c>
      <c r="R372" s="24"/>
      <c r="S372" s="24"/>
      <c r="T372" s="25"/>
      <c r="U372" s="25"/>
      <c r="V372" s="25"/>
      <c r="W372" s="25"/>
    </row>
    <row r="373" spans="1:23" ht="15.75" customHeight="1" x14ac:dyDescent="0.25">
      <c r="A373" s="20" t="s">
        <v>5</v>
      </c>
      <c r="B373" s="21">
        <v>7442871.5000000009</v>
      </c>
      <c r="C373" s="21">
        <v>9179545.9000000004</v>
      </c>
      <c r="D373" s="54">
        <v>8351500.1600000001</v>
      </c>
      <c r="E373" s="21">
        <v>8921556.0699999984</v>
      </c>
      <c r="F373" s="21">
        <v>7371974.9800000004</v>
      </c>
      <c r="G373" s="21">
        <v>2401244.9</v>
      </c>
      <c r="H373" s="21">
        <v>7167568.0899999989</v>
      </c>
      <c r="I373" s="21">
        <v>8071795.9400000004</v>
      </c>
      <c r="J373" s="21">
        <v>10054161.83</v>
      </c>
      <c r="K373" s="22">
        <v>10971189.219999999</v>
      </c>
      <c r="L373" s="21">
        <v>10881312.950000001</v>
      </c>
      <c r="M373" s="21">
        <v>10922188.250000002</v>
      </c>
      <c r="N373" s="25"/>
      <c r="O373" s="21">
        <f>SUM(B373:M373)</f>
        <v>101736909.78999999</v>
      </c>
      <c r="P373" s="21">
        <f>O373+Q373</f>
        <v>1108690788.5700002</v>
      </c>
      <c r="Q373" s="24">
        <v>1006953878.7800001</v>
      </c>
      <c r="R373" s="24"/>
      <c r="S373" s="24"/>
      <c r="T373" s="25"/>
      <c r="U373" s="25"/>
      <c r="V373" s="25"/>
      <c r="W373" s="25"/>
    </row>
    <row r="374" spans="1:23" ht="15.75" customHeight="1" x14ac:dyDescent="0.25">
      <c r="A374" s="20" t="s">
        <v>6</v>
      </c>
      <c r="B374" s="21">
        <v>1050249.04</v>
      </c>
      <c r="C374" s="21">
        <v>1302393.8600000001</v>
      </c>
      <c r="D374" s="54">
        <v>1183185.1500000001</v>
      </c>
      <c r="E374" s="21">
        <v>1266717.02</v>
      </c>
      <c r="F374" s="21">
        <v>1046692.32</v>
      </c>
      <c r="G374" s="21">
        <v>341158.91000000003</v>
      </c>
      <c r="H374" s="21">
        <v>1016591.5299999999</v>
      </c>
      <c r="I374" s="21">
        <v>1147991.3599999999</v>
      </c>
      <c r="J374" s="21">
        <v>1427165.3900000001</v>
      </c>
      <c r="K374" s="22">
        <v>1556788.63</v>
      </c>
      <c r="L374" s="21">
        <v>1544580.78</v>
      </c>
      <c r="M374" s="21">
        <v>1551722.3699999999</v>
      </c>
      <c r="N374" s="25"/>
      <c r="O374" s="21">
        <f>SUM(B374:M374)</f>
        <v>14435236.359999999</v>
      </c>
      <c r="P374" s="21">
        <f t="shared" si="19"/>
        <v>164983097.63999999</v>
      </c>
      <c r="Q374" s="24">
        <v>150547861.28</v>
      </c>
      <c r="R374" s="24"/>
      <c r="S374" s="24"/>
      <c r="T374" s="25"/>
      <c r="U374" s="25"/>
      <c r="V374" s="25"/>
      <c r="W374" s="25"/>
    </row>
    <row r="375" spans="1:23" ht="15.75" customHeight="1" x14ac:dyDescent="0.25">
      <c r="A375" s="14" t="s">
        <v>7</v>
      </c>
      <c r="B375" s="15">
        <v>184.8</v>
      </c>
      <c r="C375" s="15">
        <v>185</v>
      </c>
      <c r="D375" s="41">
        <v>184</v>
      </c>
      <c r="E375" s="15">
        <v>160.4</v>
      </c>
      <c r="F375" s="15">
        <v>165.4</v>
      </c>
      <c r="G375" s="15">
        <v>203</v>
      </c>
      <c r="H375" s="15">
        <v>233</v>
      </c>
      <c r="I375" s="15">
        <v>231</v>
      </c>
      <c r="J375" s="15">
        <v>220.8</v>
      </c>
      <c r="K375" s="16">
        <v>224</v>
      </c>
      <c r="L375" s="15">
        <v>200.33333333333334</v>
      </c>
      <c r="M375" s="15">
        <v>207</v>
      </c>
      <c r="N375" s="25"/>
      <c r="O375" s="15"/>
      <c r="P375" s="21"/>
      <c r="Q375" s="24"/>
      <c r="R375" s="24"/>
      <c r="S375" s="24"/>
      <c r="T375" s="25"/>
      <c r="U375" s="25"/>
      <c r="V375" s="25"/>
      <c r="W375" s="25"/>
    </row>
    <row r="376" spans="1:23" ht="15.75" customHeight="1" x14ac:dyDescent="0.25">
      <c r="A376" s="20" t="s">
        <v>4</v>
      </c>
      <c r="B376" s="21">
        <v>0</v>
      </c>
      <c r="C376" s="21">
        <v>0</v>
      </c>
      <c r="D376" s="54">
        <v>90</v>
      </c>
      <c r="E376" s="21">
        <v>363852</v>
      </c>
      <c r="F376" s="21">
        <v>965593</v>
      </c>
      <c r="G376" s="21">
        <v>224062</v>
      </c>
      <c r="H376" s="21">
        <v>1968528.82</v>
      </c>
      <c r="I376" s="21">
        <v>2454158.0099999998</v>
      </c>
      <c r="J376" s="21">
        <v>3169980.01</v>
      </c>
      <c r="K376" s="22">
        <v>3276781</v>
      </c>
      <c r="L376" s="21">
        <v>3412624.31</v>
      </c>
      <c r="M376" s="21">
        <v>3222611.0199999996</v>
      </c>
      <c r="N376" s="25"/>
      <c r="O376" s="21">
        <f>SUM(B376:M376)</f>
        <v>19058280.170000002</v>
      </c>
      <c r="P376" s="21">
        <f t="shared" si="19"/>
        <v>570896110.83999991</v>
      </c>
      <c r="Q376" s="24">
        <v>551837830.66999996</v>
      </c>
      <c r="R376" s="24"/>
      <c r="S376" s="24"/>
      <c r="T376" s="25"/>
      <c r="U376" s="25"/>
      <c r="V376" s="25"/>
      <c r="W376" s="25"/>
    </row>
    <row r="377" spans="1:23" ht="15.75" customHeight="1" x14ac:dyDescent="0.25">
      <c r="A377" s="20" t="s">
        <v>5</v>
      </c>
      <c r="B377" s="21">
        <v>0</v>
      </c>
      <c r="C377" s="21">
        <v>0</v>
      </c>
      <c r="D377" s="54">
        <v>12.6</v>
      </c>
      <c r="E377" s="21">
        <v>50939.28</v>
      </c>
      <c r="F377" s="21">
        <v>135183.01999999999</v>
      </c>
      <c r="G377" s="21">
        <v>31368.679999999997</v>
      </c>
      <c r="H377" s="21">
        <v>275594.03999999992</v>
      </c>
      <c r="I377" s="21">
        <v>343582.12000000005</v>
      </c>
      <c r="J377" s="21">
        <v>443797.19999999995</v>
      </c>
      <c r="K377" s="22">
        <v>458749.33999999997</v>
      </c>
      <c r="L377" s="21">
        <v>477767.41000000009</v>
      </c>
      <c r="M377" s="21">
        <v>451165.54</v>
      </c>
      <c r="N377" s="25"/>
      <c r="O377" s="21">
        <f>SUM(B377:M377)</f>
        <v>2668159.23</v>
      </c>
      <c r="P377" s="21">
        <f t="shared" si="19"/>
        <v>75263002.710000008</v>
      </c>
      <c r="Q377" s="24">
        <v>72594843.480000004</v>
      </c>
      <c r="R377" s="24"/>
      <c r="S377" s="24"/>
      <c r="T377" s="25"/>
      <c r="U377" s="25"/>
      <c r="V377" s="25"/>
      <c r="W377" s="25"/>
    </row>
    <row r="378" spans="1:23" ht="15.75" customHeight="1" x14ac:dyDescent="0.25">
      <c r="A378" s="20" t="s">
        <v>6</v>
      </c>
      <c r="B378" s="21">
        <v>0</v>
      </c>
      <c r="C378" s="21">
        <v>0</v>
      </c>
      <c r="D378" s="54">
        <v>1.8</v>
      </c>
      <c r="E378" s="21">
        <v>7277.0400000000009</v>
      </c>
      <c r="F378" s="21">
        <v>19311.859999999997</v>
      </c>
      <c r="G378" s="21">
        <v>4481.24</v>
      </c>
      <c r="H378" s="21">
        <v>39370.589999999997</v>
      </c>
      <c r="I378" s="21">
        <v>49083.16</v>
      </c>
      <c r="J378" s="21">
        <v>63399.6</v>
      </c>
      <c r="K378" s="22">
        <v>65535.62</v>
      </c>
      <c r="L378" s="21">
        <v>68252.490000000005</v>
      </c>
      <c r="M378" s="21">
        <v>64452.219999999994</v>
      </c>
      <c r="N378" s="25"/>
      <c r="O378" s="21">
        <f>SUM(B378:M378)</f>
        <v>381165.62</v>
      </c>
      <c r="P378" s="21">
        <f t="shared" si="19"/>
        <v>11417922.26</v>
      </c>
      <c r="Q378" s="24">
        <v>11036756.640000001</v>
      </c>
      <c r="R378" s="24"/>
      <c r="S378" s="24"/>
      <c r="T378" s="25"/>
      <c r="U378" s="25"/>
      <c r="V378" s="25"/>
      <c r="W378" s="25"/>
    </row>
    <row r="379" spans="1:23" ht="15.75" customHeight="1" x14ac:dyDescent="0.25">
      <c r="A379" s="14" t="s">
        <v>8</v>
      </c>
      <c r="B379" s="15">
        <v>894</v>
      </c>
      <c r="C379" s="15">
        <v>895.6</v>
      </c>
      <c r="D379" s="41">
        <v>896</v>
      </c>
      <c r="E379" s="15">
        <v>892</v>
      </c>
      <c r="F379" s="15">
        <v>880.8</v>
      </c>
      <c r="G379" s="15">
        <v>916</v>
      </c>
      <c r="H379" s="15">
        <v>1027</v>
      </c>
      <c r="I379" s="15">
        <v>1031.25</v>
      </c>
      <c r="J379" s="15">
        <v>1031.2</v>
      </c>
      <c r="K379" s="16">
        <v>1033</v>
      </c>
      <c r="L379" s="15">
        <v>1029.6666666666667</v>
      </c>
      <c r="M379" s="15">
        <v>1032.5999999999999</v>
      </c>
      <c r="N379" s="25"/>
      <c r="O379" s="15"/>
      <c r="P379" s="21"/>
      <c r="Q379" s="24"/>
      <c r="R379" s="24"/>
      <c r="S379" s="24"/>
      <c r="T379" s="25"/>
      <c r="U379" s="25"/>
      <c r="V379" s="25"/>
      <c r="W379" s="25"/>
    </row>
    <row r="380" spans="1:23" ht="15.75" customHeight="1" x14ac:dyDescent="0.25">
      <c r="A380" s="20" t="s">
        <v>4</v>
      </c>
      <c r="B380" s="21">
        <v>50261596.370000005</v>
      </c>
      <c r="C380" s="21">
        <v>61996256.239999995</v>
      </c>
      <c r="D380" s="54">
        <v>56322685.619999997</v>
      </c>
      <c r="E380" s="21">
        <v>60491119.539999999</v>
      </c>
      <c r="F380" s="21">
        <v>49467261.710000008</v>
      </c>
      <c r="G380" s="21">
        <v>16374717.34</v>
      </c>
      <c r="H380" s="21">
        <v>47066290.960000001</v>
      </c>
      <c r="I380" s="21">
        <v>52857935.219999999</v>
      </c>
      <c r="J380" s="21">
        <v>64943359.209999993</v>
      </c>
      <c r="K380" s="22">
        <v>71671140.789999992</v>
      </c>
      <c r="L380" s="21">
        <v>70520294.439999998</v>
      </c>
      <c r="M380" s="21">
        <v>72045326.289999992</v>
      </c>
      <c r="N380" s="25"/>
      <c r="O380" s="21">
        <f t="shared" ref="O380:O386" si="32">SUM(B380:M380)</f>
        <v>674017983.73000002</v>
      </c>
      <c r="P380" s="21">
        <f t="shared" si="19"/>
        <v>7497568491.4871426</v>
      </c>
      <c r="Q380" s="24">
        <v>6823550507.7571421</v>
      </c>
      <c r="R380" s="24"/>
      <c r="S380" s="24"/>
      <c r="T380" s="25"/>
      <c r="U380" s="25"/>
      <c r="V380" s="25"/>
      <c r="W380" s="25"/>
    </row>
    <row r="381" spans="1:23" ht="15.75" customHeight="1" x14ac:dyDescent="0.25">
      <c r="A381" s="20" t="s">
        <v>5</v>
      </c>
      <c r="B381" s="21">
        <v>7036623.5599999996</v>
      </c>
      <c r="C381" s="21">
        <v>8679475.9499999993</v>
      </c>
      <c r="D381" s="54">
        <v>7885176.0100000007</v>
      </c>
      <c r="E381" s="21">
        <v>8468756.8100000005</v>
      </c>
      <c r="F381" s="21">
        <v>6925416.7199999988</v>
      </c>
      <c r="G381" s="21">
        <v>2292460.4699999997</v>
      </c>
      <c r="H381" s="21">
        <v>6589280.8399999989</v>
      </c>
      <c r="I381" s="21">
        <v>7400111.0100000007</v>
      </c>
      <c r="J381" s="21">
        <v>9092070.4000000004</v>
      </c>
      <c r="K381" s="22">
        <v>10033959.789999999</v>
      </c>
      <c r="L381" s="21">
        <v>9872841.3100000005</v>
      </c>
      <c r="M381" s="21">
        <v>10086345.799999999</v>
      </c>
      <c r="N381" s="25"/>
      <c r="O381" s="21">
        <f t="shared" si="32"/>
        <v>94362518.669999987</v>
      </c>
      <c r="P381" s="21">
        <f t="shared" si="19"/>
        <v>994325760.06999993</v>
      </c>
      <c r="Q381" s="24">
        <v>899963241.39999998</v>
      </c>
      <c r="R381" s="24"/>
      <c r="S381" s="24"/>
      <c r="T381" s="25"/>
      <c r="U381" s="25"/>
      <c r="V381" s="25"/>
      <c r="W381" s="25"/>
    </row>
    <row r="382" spans="1:23" ht="15.75" customHeight="1" x14ac:dyDescent="0.25">
      <c r="A382" s="20" t="s">
        <v>6</v>
      </c>
      <c r="B382" s="21">
        <v>1005231.9999999999</v>
      </c>
      <c r="C382" s="21">
        <v>1239925.1999999997</v>
      </c>
      <c r="D382" s="54">
        <v>1126453.76</v>
      </c>
      <c r="E382" s="21">
        <v>1209822.4699999997</v>
      </c>
      <c r="F382" s="21">
        <v>989345.35000000009</v>
      </c>
      <c r="G382" s="21">
        <v>327494.39</v>
      </c>
      <c r="H382" s="21">
        <v>941325.92999999993</v>
      </c>
      <c r="I382" s="21">
        <v>1057158.7799999998</v>
      </c>
      <c r="J382" s="21">
        <v>1298867.29</v>
      </c>
      <c r="K382" s="22">
        <v>1433422.89</v>
      </c>
      <c r="L382" s="21">
        <v>1410406.02</v>
      </c>
      <c r="M382" s="21">
        <v>1440906.6400000001</v>
      </c>
      <c r="N382" s="25"/>
      <c r="O382" s="21">
        <f t="shared" si="32"/>
        <v>13480360.719999999</v>
      </c>
      <c r="P382" s="21">
        <f t="shared" si="19"/>
        <v>149951379.73999998</v>
      </c>
      <c r="Q382" s="24">
        <v>136471019.01999998</v>
      </c>
      <c r="R382" s="24"/>
      <c r="S382" s="24"/>
      <c r="T382" s="25"/>
      <c r="U382" s="25"/>
      <c r="V382" s="25"/>
      <c r="W382" s="25"/>
    </row>
    <row r="383" spans="1:23" ht="15.75" customHeight="1" x14ac:dyDescent="0.25">
      <c r="A383" s="14" t="s">
        <v>9</v>
      </c>
      <c r="B383" s="15">
        <v>0</v>
      </c>
      <c r="C383" s="15">
        <v>0</v>
      </c>
      <c r="D383" s="41">
        <v>0</v>
      </c>
      <c r="E383" s="15">
        <v>0</v>
      </c>
      <c r="F383" s="15">
        <v>0</v>
      </c>
      <c r="G383" s="15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25"/>
      <c r="O383" s="15"/>
      <c r="P383" s="21"/>
      <c r="Q383" s="24"/>
      <c r="R383" s="24"/>
      <c r="S383" s="24"/>
      <c r="T383" s="25"/>
      <c r="U383" s="25"/>
      <c r="V383" s="25"/>
      <c r="W383" s="25"/>
    </row>
    <row r="384" spans="1:23" ht="15.75" customHeight="1" x14ac:dyDescent="0.25">
      <c r="A384" s="20" t="s">
        <v>4</v>
      </c>
      <c r="B384" s="21">
        <v>0</v>
      </c>
      <c r="C384" s="21">
        <v>0</v>
      </c>
      <c r="D384" s="54">
        <v>0</v>
      </c>
      <c r="E384" s="21">
        <v>0</v>
      </c>
      <c r="F384" s="21">
        <v>0</v>
      </c>
      <c r="G384" s="21">
        <v>0</v>
      </c>
      <c r="H384" s="21">
        <v>0</v>
      </c>
      <c r="I384" s="21">
        <v>0</v>
      </c>
      <c r="J384" s="21">
        <v>0</v>
      </c>
      <c r="K384" s="22">
        <v>0</v>
      </c>
      <c r="L384" s="21">
        <v>0</v>
      </c>
      <c r="M384" s="21">
        <v>0</v>
      </c>
      <c r="N384" s="25"/>
      <c r="O384" s="21">
        <f t="shared" si="32"/>
        <v>0</v>
      </c>
      <c r="P384" s="21">
        <f t="shared" ref="P384:P394" si="33">O384+Q384</f>
        <v>7833510.3599999994</v>
      </c>
      <c r="Q384" s="24">
        <v>7833510.3599999994</v>
      </c>
      <c r="R384" s="24"/>
      <c r="S384" s="24"/>
      <c r="T384" s="25"/>
      <c r="U384" s="25"/>
      <c r="V384" s="25"/>
      <c r="W384" s="25"/>
    </row>
    <row r="385" spans="1:23" ht="15.75" customHeight="1" x14ac:dyDescent="0.25">
      <c r="A385" s="20" t="s">
        <v>5</v>
      </c>
      <c r="B385" s="21">
        <v>0</v>
      </c>
      <c r="C385" s="21">
        <v>0</v>
      </c>
      <c r="D385" s="54">
        <v>0</v>
      </c>
      <c r="E385" s="21">
        <v>0</v>
      </c>
      <c r="F385" s="21">
        <v>0</v>
      </c>
      <c r="G385" s="21">
        <v>0</v>
      </c>
      <c r="H385" s="21">
        <v>0</v>
      </c>
      <c r="I385" s="21">
        <v>0</v>
      </c>
      <c r="J385" s="21">
        <v>0</v>
      </c>
      <c r="K385" s="22">
        <v>0</v>
      </c>
      <c r="L385" s="21">
        <v>0</v>
      </c>
      <c r="M385" s="21">
        <v>0</v>
      </c>
      <c r="N385" s="25"/>
      <c r="O385" s="21">
        <f t="shared" si="32"/>
        <v>0</v>
      </c>
      <c r="P385" s="21">
        <f t="shared" si="33"/>
        <v>1095237.23</v>
      </c>
      <c r="Q385" s="24">
        <v>1095237.23</v>
      </c>
      <c r="R385" s="24"/>
      <c r="S385" s="24"/>
      <c r="T385" s="25"/>
      <c r="U385" s="25"/>
      <c r="V385" s="25"/>
      <c r="W385" s="25"/>
    </row>
    <row r="386" spans="1:23" ht="15.75" customHeight="1" x14ac:dyDescent="0.25">
      <c r="A386" s="20" t="s">
        <v>6</v>
      </c>
      <c r="B386" s="21">
        <v>0</v>
      </c>
      <c r="C386" s="21">
        <v>0</v>
      </c>
      <c r="D386" s="54">
        <v>0</v>
      </c>
      <c r="E386" s="21">
        <v>0</v>
      </c>
      <c r="F386" s="21">
        <v>0</v>
      </c>
      <c r="G386" s="21">
        <v>0</v>
      </c>
      <c r="H386" s="21">
        <v>0</v>
      </c>
      <c r="I386" s="21">
        <v>0</v>
      </c>
      <c r="J386" s="21">
        <v>0</v>
      </c>
      <c r="K386" s="22">
        <v>0</v>
      </c>
      <c r="L386" s="21">
        <v>0</v>
      </c>
      <c r="M386" s="21">
        <v>0</v>
      </c>
      <c r="N386" s="25"/>
      <c r="O386" s="21">
        <f t="shared" si="32"/>
        <v>0</v>
      </c>
      <c r="P386" s="21">
        <f t="shared" si="33"/>
        <v>156670.21</v>
      </c>
      <c r="Q386" s="24">
        <v>156670.21</v>
      </c>
      <c r="R386" s="24"/>
      <c r="S386" s="24"/>
      <c r="T386" s="25"/>
      <c r="U386" s="25"/>
      <c r="V386" s="25"/>
      <c r="W386" s="25"/>
    </row>
    <row r="387" spans="1:23" ht="15.75" customHeight="1" x14ac:dyDescent="0.25">
      <c r="A387" s="14" t="s">
        <v>10</v>
      </c>
      <c r="B387" s="15">
        <v>6</v>
      </c>
      <c r="C387" s="15">
        <v>6</v>
      </c>
      <c r="D387" s="41">
        <v>6</v>
      </c>
      <c r="E387" s="15">
        <v>10.8</v>
      </c>
      <c r="F387" s="15">
        <v>12</v>
      </c>
      <c r="G387" s="15">
        <v>12</v>
      </c>
      <c r="H387" s="15">
        <v>13</v>
      </c>
      <c r="I387" s="15">
        <v>13</v>
      </c>
      <c r="J387" s="15">
        <v>13</v>
      </c>
      <c r="K387" s="16">
        <v>13</v>
      </c>
      <c r="L387" s="15">
        <v>13.666666666666666</v>
      </c>
      <c r="M387" s="15">
        <v>15</v>
      </c>
      <c r="N387" s="25"/>
      <c r="O387" s="15"/>
      <c r="P387" s="21"/>
      <c r="Q387" s="24"/>
      <c r="R387" s="24"/>
      <c r="S387" s="24"/>
      <c r="T387" s="25"/>
      <c r="U387" s="25"/>
      <c r="V387" s="25"/>
      <c r="W387" s="25"/>
    </row>
    <row r="388" spans="1:23" ht="15.75" customHeight="1" x14ac:dyDescent="0.25">
      <c r="A388" s="20" t="s">
        <v>4</v>
      </c>
      <c r="B388" s="21">
        <v>268025.5</v>
      </c>
      <c r="C388" s="21">
        <v>184674.5</v>
      </c>
      <c r="D388" s="54">
        <v>203542.5</v>
      </c>
      <c r="E388" s="21">
        <v>160404.5</v>
      </c>
      <c r="F388" s="21">
        <v>132733.5</v>
      </c>
      <c r="G388" s="21">
        <v>38626</v>
      </c>
      <c r="H388" s="21">
        <v>151259</v>
      </c>
      <c r="I388" s="21">
        <v>105461.5</v>
      </c>
      <c r="J388" s="21">
        <v>188249</v>
      </c>
      <c r="K388" s="22">
        <v>216674.5</v>
      </c>
      <c r="L388" s="21">
        <v>203672</v>
      </c>
      <c r="M388" s="21">
        <v>176859.5</v>
      </c>
      <c r="N388" s="25"/>
      <c r="O388" s="21">
        <f>SUM(B388:M388)</f>
        <v>2030182</v>
      </c>
      <c r="P388" s="21">
        <f t="shared" si="33"/>
        <v>42535982.109999999</v>
      </c>
      <c r="Q388" s="24">
        <v>40505800.109999999</v>
      </c>
      <c r="R388" s="24"/>
      <c r="S388" s="24"/>
      <c r="T388" s="25"/>
      <c r="U388" s="25"/>
      <c r="V388" s="25"/>
      <c r="W388" s="25"/>
    </row>
    <row r="389" spans="1:23" ht="15.75" customHeight="1" x14ac:dyDescent="0.25">
      <c r="A389" s="20" t="s">
        <v>5</v>
      </c>
      <c r="B389" s="21">
        <v>128652.23999999999</v>
      </c>
      <c r="C389" s="21">
        <v>88643.760000000009</v>
      </c>
      <c r="D389" s="54">
        <v>97700.4</v>
      </c>
      <c r="E389" s="21">
        <v>76994.16</v>
      </c>
      <c r="F389" s="21">
        <v>63712.08</v>
      </c>
      <c r="G389" s="21">
        <v>18540.480000000003</v>
      </c>
      <c r="H389" s="21">
        <v>72604.320000000007</v>
      </c>
      <c r="I389" s="21">
        <v>50621.52</v>
      </c>
      <c r="J389" s="21">
        <v>90359.51999999999</v>
      </c>
      <c r="K389" s="22">
        <v>104003.76</v>
      </c>
      <c r="L389" s="21">
        <v>97762.560000000012</v>
      </c>
      <c r="M389" s="21">
        <v>84892.56</v>
      </c>
      <c r="N389" s="25"/>
      <c r="O389" s="21">
        <f>SUM(B389:M389)</f>
        <v>974487.3600000001</v>
      </c>
      <c r="P389" s="21">
        <f t="shared" si="33"/>
        <v>19880794.100000001</v>
      </c>
      <c r="Q389" s="24">
        <v>18906306.740000002</v>
      </c>
      <c r="R389" s="24"/>
      <c r="S389" s="24"/>
      <c r="T389" s="25"/>
      <c r="U389" s="25"/>
      <c r="V389" s="25"/>
      <c r="W389" s="25"/>
    </row>
    <row r="390" spans="1:23" ht="15.75" customHeight="1" x14ac:dyDescent="0.25">
      <c r="A390" s="20" t="s">
        <v>6</v>
      </c>
      <c r="B390" s="21">
        <v>5360.51</v>
      </c>
      <c r="C390" s="21">
        <v>3693.49</v>
      </c>
      <c r="D390" s="54">
        <v>4070.85</v>
      </c>
      <c r="E390" s="21">
        <v>3208.09</v>
      </c>
      <c r="F390" s="21">
        <v>2654.67</v>
      </c>
      <c r="G390" s="21">
        <v>772.52</v>
      </c>
      <c r="H390" s="21">
        <v>3025.1800000000003</v>
      </c>
      <c r="I390" s="21">
        <v>2109.2300000000005</v>
      </c>
      <c r="J390" s="21">
        <v>3764.98</v>
      </c>
      <c r="K390" s="22">
        <v>4333.49</v>
      </c>
      <c r="L390" s="21">
        <v>4073.4400000000005</v>
      </c>
      <c r="M390" s="21">
        <v>3537.1899999999996</v>
      </c>
      <c r="N390" s="25"/>
      <c r="O390" s="21">
        <f>SUM(B390:M390)</f>
        <v>40603.640000000007</v>
      </c>
      <c r="P390" s="21">
        <f t="shared" si="33"/>
        <v>850719.64</v>
      </c>
      <c r="Q390" s="24">
        <v>810116</v>
      </c>
      <c r="R390" s="24"/>
      <c r="S390" s="24"/>
      <c r="T390" s="25"/>
      <c r="U390" s="25"/>
      <c r="V390" s="25"/>
      <c r="W390" s="25"/>
    </row>
    <row r="391" spans="1:23" ht="15.75" customHeight="1" x14ac:dyDescent="0.25">
      <c r="A391" s="31" t="s">
        <v>11</v>
      </c>
      <c r="B391" s="15">
        <v>88</v>
      </c>
      <c r="C391" s="15">
        <v>88</v>
      </c>
      <c r="D391" s="41">
        <v>89.6</v>
      </c>
      <c r="E391" s="15">
        <v>90</v>
      </c>
      <c r="F391" s="15">
        <v>87.4</v>
      </c>
      <c r="G391" s="15">
        <v>90</v>
      </c>
      <c r="H391" s="15">
        <v>104.75</v>
      </c>
      <c r="I391" s="15">
        <v>105</v>
      </c>
      <c r="J391" s="15">
        <v>105</v>
      </c>
      <c r="K391" s="16">
        <v>104.8</v>
      </c>
      <c r="L391" s="15">
        <v>106</v>
      </c>
      <c r="M391" s="15">
        <v>109</v>
      </c>
      <c r="N391" s="25"/>
      <c r="O391" s="21"/>
      <c r="P391" s="21"/>
      <c r="Q391" s="24"/>
      <c r="R391" s="24"/>
      <c r="S391" s="24"/>
      <c r="T391" s="25"/>
      <c r="U391" s="25"/>
      <c r="V391" s="25"/>
      <c r="W391" s="25"/>
    </row>
    <row r="392" spans="1:23" ht="15.75" customHeight="1" x14ac:dyDescent="0.25">
      <c r="A392" s="32" t="s">
        <v>4</v>
      </c>
      <c r="B392" s="21">
        <v>1982826.4000000001</v>
      </c>
      <c r="C392" s="21">
        <v>2938668.4200000004</v>
      </c>
      <c r="D392" s="54">
        <v>2632936.86</v>
      </c>
      <c r="E392" s="21">
        <v>2320470.1999999997</v>
      </c>
      <c r="F392" s="21">
        <v>1769022.6199999999</v>
      </c>
      <c r="G392" s="21">
        <v>420537.74</v>
      </c>
      <c r="H392" s="21">
        <v>1643491.96</v>
      </c>
      <c r="I392" s="21">
        <v>1982009.2799999998</v>
      </c>
      <c r="J392" s="21">
        <v>3056676.38</v>
      </c>
      <c r="K392" s="22">
        <v>2674830.9800000004</v>
      </c>
      <c r="L392" s="21">
        <v>3092440.54</v>
      </c>
      <c r="M392" s="21">
        <v>2141316.6800000002</v>
      </c>
      <c r="N392" s="25"/>
      <c r="O392" s="21">
        <f>SUM(B392:M392)</f>
        <v>26655228.059999999</v>
      </c>
      <c r="P392" s="21">
        <f t="shared" si="33"/>
        <v>130320183.04000001</v>
      </c>
      <c r="Q392" s="24">
        <v>103664954.98</v>
      </c>
      <c r="R392" s="24"/>
      <c r="S392" s="24"/>
      <c r="T392" s="25"/>
      <c r="U392" s="25"/>
      <c r="V392" s="25"/>
      <c r="W392" s="25"/>
    </row>
    <row r="393" spans="1:23" ht="15.75" customHeight="1" x14ac:dyDescent="0.25">
      <c r="A393" s="20" t="s">
        <v>5</v>
      </c>
      <c r="B393" s="21">
        <v>277595.7</v>
      </c>
      <c r="C393" s="21">
        <v>411413.59</v>
      </c>
      <c r="D393" s="54">
        <v>368611.15</v>
      </c>
      <c r="E393" s="21">
        <v>324865.82</v>
      </c>
      <c r="F393" s="21">
        <v>247663.16</v>
      </c>
      <c r="G393" s="21">
        <v>58875.26999999999</v>
      </c>
      <c r="H393" s="21">
        <v>230088.88999999998</v>
      </c>
      <c r="I393" s="21">
        <v>277481.29000000004</v>
      </c>
      <c r="J393" s="21">
        <v>427934.70999999996</v>
      </c>
      <c r="K393" s="22">
        <v>374476.33</v>
      </c>
      <c r="L393" s="21">
        <v>432941.67</v>
      </c>
      <c r="M393" s="21">
        <v>299784.35000000009</v>
      </c>
      <c r="N393" s="25"/>
      <c r="O393" s="21">
        <f>SUM(B393:M393)</f>
        <v>3731731.93</v>
      </c>
      <c r="P393" s="21">
        <f t="shared" si="33"/>
        <v>18125981.800000001</v>
      </c>
      <c r="Q393" s="24">
        <v>14394249.869999999</v>
      </c>
      <c r="R393" s="24"/>
      <c r="S393" s="24"/>
      <c r="T393" s="25"/>
      <c r="U393" s="25"/>
      <c r="V393" s="25"/>
      <c r="W393" s="25"/>
    </row>
    <row r="394" spans="1:23" ht="15.75" customHeight="1" x14ac:dyDescent="0.25">
      <c r="A394" s="32" t="s">
        <v>6</v>
      </c>
      <c r="B394" s="21">
        <v>39656.53</v>
      </c>
      <c r="C394" s="21">
        <v>58773.37</v>
      </c>
      <c r="D394" s="54">
        <v>52658.74</v>
      </c>
      <c r="E394" s="21">
        <v>46409.42</v>
      </c>
      <c r="F394" s="21">
        <v>35380.439999999995</v>
      </c>
      <c r="G394" s="21">
        <v>8410.76</v>
      </c>
      <c r="H394" s="21">
        <v>32869.829999999994</v>
      </c>
      <c r="I394" s="21">
        <v>39640.19</v>
      </c>
      <c r="J394" s="21">
        <v>61133.520000000004</v>
      </c>
      <c r="K394" s="22">
        <v>53496.630000000012</v>
      </c>
      <c r="L394" s="21">
        <v>61848.83</v>
      </c>
      <c r="M394" s="21">
        <v>42826.32</v>
      </c>
      <c r="N394" s="25"/>
      <c r="O394" s="21">
        <f>SUM(B394:M394)</f>
        <v>533104.58000000007</v>
      </c>
      <c r="P394" s="21">
        <f t="shared" si="33"/>
        <v>2606404.08</v>
      </c>
      <c r="Q394" s="24">
        <v>2073299.5</v>
      </c>
      <c r="R394" s="24"/>
      <c r="S394" s="24"/>
      <c r="T394" s="25"/>
      <c r="U394" s="25"/>
      <c r="V394" s="25"/>
      <c r="W394" s="25"/>
    </row>
    <row r="395" spans="1:23" ht="20.25" customHeight="1" x14ac:dyDescent="0.25">
      <c r="A395" s="14"/>
      <c r="B395" s="21"/>
      <c r="C395" s="15"/>
      <c r="D395" s="15"/>
      <c r="E395" s="15"/>
      <c r="F395" s="15"/>
      <c r="G395" s="21"/>
      <c r="H395" s="25"/>
      <c r="I395" s="21"/>
      <c r="J395" s="21"/>
      <c r="K395" s="21"/>
      <c r="L395" s="21"/>
      <c r="M395" s="21"/>
      <c r="N395" s="25"/>
      <c r="O395" s="21"/>
      <c r="P395" s="21"/>
      <c r="Q395" s="21"/>
      <c r="R395" s="25"/>
      <c r="S395" s="24"/>
      <c r="T395" s="25"/>
      <c r="U395" s="25"/>
      <c r="V395" s="25"/>
      <c r="W395" s="25"/>
    </row>
    <row r="396" spans="1:23" ht="20.25" customHeight="1" x14ac:dyDescent="0.25">
      <c r="A396" s="20"/>
      <c r="B396" s="21"/>
      <c r="C396" s="21"/>
      <c r="D396" s="21"/>
      <c r="E396" s="21"/>
      <c r="F396" s="21"/>
      <c r="G396" s="21"/>
      <c r="H396" s="25"/>
      <c r="I396" s="21"/>
      <c r="J396" s="21"/>
      <c r="K396" s="21"/>
      <c r="L396" s="21"/>
      <c r="M396" s="21"/>
      <c r="N396" s="25"/>
      <c r="O396" s="21"/>
      <c r="P396" s="21"/>
      <c r="Q396" s="25"/>
      <c r="R396" s="25"/>
      <c r="S396" s="24"/>
      <c r="T396" s="25"/>
      <c r="U396" s="25"/>
      <c r="V396" s="25"/>
      <c r="W396" s="25"/>
    </row>
    <row r="397" spans="1:23" ht="20.25" customHeight="1" x14ac:dyDescent="0.25">
      <c r="A397" s="20"/>
      <c r="B397" s="21"/>
      <c r="C397" s="21"/>
      <c r="D397" s="21"/>
      <c r="E397" s="21"/>
      <c r="F397" s="21"/>
      <c r="G397" s="21"/>
      <c r="H397" s="25"/>
      <c r="I397" s="15"/>
      <c r="J397" s="15"/>
      <c r="K397" s="21"/>
      <c r="L397" s="21"/>
      <c r="M397" s="21"/>
      <c r="N397" s="25"/>
      <c r="O397" s="21"/>
      <c r="P397" s="21"/>
      <c r="Q397" s="25"/>
      <c r="R397" s="25"/>
      <c r="S397" s="24"/>
      <c r="T397" s="25"/>
      <c r="U397" s="25"/>
      <c r="V397" s="25"/>
      <c r="W397" s="25"/>
    </row>
    <row r="398" spans="1:23" ht="20.25" customHeight="1" x14ac:dyDescent="0.25">
      <c r="A398" s="20"/>
      <c r="B398" s="21"/>
      <c r="C398" s="21"/>
      <c r="D398" s="21"/>
      <c r="E398" s="21"/>
      <c r="F398" s="21"/>
      <c r="G398" s="21"/>
      <c r="H398" s="25"/>
      <c r="I398" s="21"/>
      <c r="J398" s="21"/>
      <c r="K398" s="15"/>
      <c r="L398" s="15"/>
      <c r="M398" s="21"/>
      <c r="N398" s="25"/>
      <c r="O398" s="21"/>
      <c r="P398" s="21"/>
      <c r="Q398" s="25"/>
      <c r="R398" s="25"/>
      <c r="S398" s="24"/>
      <c r="T398" s="25"/>
      <c r="U398" s="25"/>
      <c r="V398" s="25"/>
      <c r="W398" s="25"/>
    </row>
    <row r="399" spans="1:23" ht="20.25" customHeight="1" x14ac:dyDescent="0.25">
      <c r="A399" s="14"/>
      <c r="B399" s="21"/>
      <c r="C399" s="21"/>
      <c r="D399" s="21"/>
      <c r="E399" s="21"/>
      <c r="F399" s="21"/>
      <c r="G399" s="21"/>
      <c r="H399" s="25"/>
      <c r="I399" s="21"/>
      <c r="J399" s="21"/>
      <c r="K399" s="21"/>
      <c r="L399" s="21"/>
      <c r="M399" s="21"/>
      <c r="N399" s="25"/>
      <c r="O399" s="21"/>
      <c r="P399" s="21"/>
      <c r="Q399" s="25"/>
      <c r="R399" s="25"/>
      <c r="S399" s="24"/>
      <c r="T399" s="25"/>
      <c r="U399" s="25"/>
      <c r="V399" s="25"/>
      <c r="W399" s="25"/>
    </row>
    <row r="400" spans="1:23" ht="20.25" customHeight="1" x14ac:dyDescent="0.25">
      <c r="A400" s="20"/>
      <c r="B400" s="21"/>
      <c r="C400" s="21"/>
      <c r="D400" s="21"/>
      <c r="E400" s="21"/>
      <c r="F400" s="21"/>
      <c r="G400" s="21"/>
      <c r="H400" s="25"/>
      <c r="I400" s="21"/>
      <c r="J400" s="21"/>
      <c r="K400" s="21"/>
      <c r="L400" s="21"/>
      <c r="M400" s="21"/>
      <c r="N400" s="25"/>
      <c r="O400" s="21"/>
      <c r="P400" s="21"/>
      <c r="Q400" s="25"/>
      <c r="R400" s="25"/>
      <c r="S400" s="24"/>
      <c r="T400" s="25"/>
      <c r="U400" s="25"/>
      <c r="V400" s="25"/>
      <c r="W400" s="25"/>
    </row>
    <row r="401" spans="1:23" ht="20.25" customHeight="1" x14ac:dyDescent="0.25">
      <c r="A401" s="20"/>
      <c r="B401" s="21"/>
      <c r="C401" s="21"/>
      <c r="D401" s="21"/>
      <c r="E401" s="21"/>
      <c r="F401" s="21"/>
      <c r="G401" s="21"/>
      <c r="H401" s="25"/>
      <c r="I401" s="25"/>
      <c r="J401" s="25"/>
      <c r="K401" s="21"/>
      <c r="L401" s="21"/>
      <c r="M401" s="21"/>
      <c r="N401" s="25"/>
      <c r="O401" s="21"/>
      <c r="P401" s="21"/>
      <c r="Q401" s="25"/>
      <c r="R401" s="25"/>
      <c r="S401" s="24"/>
      <c r="T401" s="25"/>
      <c r="U401" s="25"/>
      <c r="V401" s="25"/>
      <c r="W401" s="25"/>
    </row>
    <row r="402" spans="1:23" ht="20.25" customHeight="1" x14ac:dyDescent="0.25">
      <c r="A402" s="20"/>
      <c r="B402" s="21"/>
      <c r="C402" s="21"/>
      <c r="D402" s="21"/>
      <c r="E402" s="21"/>
      <c r="F402" s="21"/>
      <c r="G402" s="21"/>
      <c r="H402" s="25"/>
      <c r="I402" s="25"/>
      <c r="J402" s="25"/>
      <c r="K402" s="25"/>
      <c r="L402" s="25"/>
      <c r="M402" s="21"/>
      <c r="N402" s="25"/>
      <c r="O402" s="21"/>
      <c r="P402" s="21"/>
      <c r="Q402" s="25"/>
      <c r="R402" s="25"/>
      <c r="S402" s="24"/>
      <c r="T402" s="25"/>
      <c r="U402" s="25"/>
      <c r="V402" s="25"/>
      <c r="W402" s="25"/>
    </row>
    <row r="403" spans="1:23" ht="20.25" customHeight="1" x14ac:dyDescent="0.25">
      <c r="A403" s="14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1"/>
      <c r="N403" s="25"/>
      <c r="O403" s="25"/>
      <c r="P403" s="25"/>
      <c r="Q403" s="25"/>
      <c r="R403" s="25"/>
      <c r="S403" s="24"/>
      <c r="T403" s="25"/>
      <c r="U403" s="25"/>
      <c r="V403" s="25"/>
      <c r="W403" s="25"/>
    </row>
    <row r="404" spans="1:23" ht="20.25" customHeight="1" x14ac:dyDescent="0.25">
      <c r="A404" s="20"/>
      <c r="B404" s="21"/>
      <c r="C404" s="21"/>
      <c r="D404" s="21"/>
      <c r="E404" s="21"/>
      <c r="F404" s="21"/>
      <c r="G404" s="21"/>
      <c r="H404" s="24"/>
      <c r="I404" s="25"/>
      <c r="J404" s="25"/>
      <c r="K404" s="25"/>
      <c r="L404" s="25"/>
      <c r="M404" s="21"/>
      <c r="N404" s="25"/>
      <c r="O404" s="21"/>
      <c r="P404" s="21"/>
      <c r="Q404" s="25"/>
      <c r="R404" s="25"/>
      <c r="S404" s="24"/>
      <c r="T404" s="25"/>
      <c r="U404" s="25"/>
      <c r="V404" s="25"/>
      <c r="W404" s="25"/>
    </row>
    <row r="405" spans="1:23" ht="20.25" customHeight="1" x14ac:dyDescent="0.25">
      <c r="A405" s="20"/>
      <c r="B405" s="21"/>
      <c r="C405" s="21"/>
      <c r="D405" s="21"/>
      <c r="E405" s="21"/>
      <c r="F405" s="21"/>
      <c r="G405" s="21"/>
      <c r="H405" s="25"/>
      <c r="I405" s="25"/>
      <c r="J405" s="25"/>
      <c r="K405" s="25"/>
      <c r="L405" s="25"/>
      <c r="M405" s="21"/>
      <c r="N405" s="25"/>
      <c r="O405" s="21"/>
      <c r="P405" s="21"/>
      <c r="Q405" s="25"/>
      <c r="R405" s="25"/>
      <c r="S405" s="24"/>
      <c r="T405" s="25"/>
      <c r="U405" s="25"/>
      <c r="V405" s="25"/>
      <c r="W405" s="25"/>
    </row>
    <row r="406" spans="1:23" ht="20.25" customHeight="1" x14ac:dyDescent="0.25">
      <c r="A406" s="20"/>
      <c r="B406" s="21"/>
      <c r="C406" s="21"/>
      <c r="D406" s="21"/>
      <c r="E406" s="21"/>
      <c r="F406" s="21"/>
      <c r="G406" s="21"/>
      <c r="H406" s="25"/>
      <c r="I406" s="25"/>
      <c r="J406" s="25"/>
      <c r="K406" s="25"/>
      <c r="L406" s="25"/>
      <c r="M406" s="21"/>
      <c r="N406" s="25"/>
      <c r="O406" s="21"/>
      <c r="P406" s="21"/>
      <c r="Q406" s="25"/>
      <c r="R406" s="25"/>
      <c r="S406" s="24"/>
      <c r="T406" s="25"/>
      <c r="U406" s="25"/>
      <c r="V406" s="25"/>
      <c r="W406" s="25"/>
    </row>
    <row r="407" spans="1:23" ht="20.25" customHeight="1" x14ac:dyDescent="0.25">
      <c r="A407" s="14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1"/>
      <c r="N407" s="25"/>
      <c r="O407" s="25"/>
      <c r="P407" s="25"/>
      <c r="Q407" s="25"/>
      <c r="R407" s="25"/>
      <c r="S407" s="24"/>
      <c r="T407" s="25"/>
      <c r="U407" s="25"/>
      <c r="V407" s="25"/>
      <c r="W407" s="25"/>
    </row>
    <row r="408" spans="1:23" ht="20.25" customHeight="1" x14ac:dyDescent="0.25">
      <c r="A408" s="20"/>
      <c r="B408" s="21"/>
      <c r="C408" s="21"/>
      <c r="D408" s="21"/>
      <c r="E408" s="21"/>
      <c r="F408" s="21"/>
      <c r="G408" s="21"/>
      <c r="H408" s="25"/>
      <c r="I408" s="25"/>
      <c r="J408" s="25"/>
      <c r="K408" s="25"/>
      <c r="L408" s="25"/>
      <c r="M408" s="21"/>
      <c r="N408" s="25"/>
      <c r="O408" s="21"/>
      <c r="P408" s="21"/>
      <c r="Q408" s="25"/>
      <c r="R408" s="25"/>
      <c r="S408" s="24"/>
      <c r="T408" s="25"/>
      <c r="U408" s="25"/>
      <c r="V408" s="25"/>
      <c r="W408" s="25"/>
    </row>
    <row r="409" spans="1:23" ht="20.25" customHeight="1" x14ac:dyDescent="0.25">
      <c r="A409" s="20"/>
      <c r="B409" s="21"/>
      <c r="C409" s="21"/>
      <c r="D409" s="21"/>
      <c r="E409" s="21"/>
      <c r="F409" s="21"/>
      <c r="G409" s="21"/>
      <c r="H409" s="25"/>
      <c r="I409" s="25"/>
      <c r="J409" s="25"/>
      <c r="K409" s="25"/>
      <c r="L409" s="25"/>
      <c r="M409" s="21"/>
      <c r="N409" s="25"/>
      <c r="O409" s="21"/>
      <c r="P409" s="21"/>
      <c r="Q409" s="25"/>
      <c r="R409" s="25"/>
      <c r="S409" s="24"/>
      <c r="T409" s="25"/>
      <c r="U409" s="25"/>
      <c r="V409" s="25"/>
      <c r="W409" s="25"/>
    </row>
    <row r="410" spans="1:23" ht="20.25" customHeight="1" x14ac:dyDescent="0.25">
      <c r="A410" s="20"/>
      <c r="B410" s="43"/>
      <c r="C410" s="43"/>
      <c r="D410" s="43"/>
      <c r="E410" s="43"/>
      <c r="F410" s="43"/>
      <c r="G410" s="43"/>
      <c r="I410" s="3"/>
      <c r="M410" s="43"/>
      <c r="O410" s="43"/>
      <c r="P410" s="43"/>
      <c r="S410" s="24"/>
    </row>
    <row r="411" spans="1:23" ht="20.25" customHeight="1" x14ac:dyDescent="0.25">
      <c r="A411" s="14"/>
      <c r="I411" s="3"/>
      <c r="M411" s="43"/>
      <c r="S411" s="24"/>
    </row>
    <row r="412" spans="1:23" ht="20.25" customHeight="1" x14ac:dyDescent="0.25">
      <c r="A412" s="20"/>
      <c r="B412" s="43"/>
      <c r="C412" s="43"/>
      <c r="D412" s="43"/>
      <c r="E412" s="43"/>
      <c r="F412" s="43"/>
      <c r="G412" s="43"/>
      <c r="I412" s="3"/>
      <c r="M412" s="43"/>
      <c r="O412" s="43"/>
      <c r="P412" s="43"/>
      <c r="S412" s="24"/>
    </row>
    <row r="413" spans="1:23" ht="20.25" customHeight="1" x14ac:dyDescent="0.25">
      <c r="A413" s="20"/>
      <c r="B413" s="43"/>
      <c r="C413" s="43"/>
      <c r="D413" s="43"/>
      <c r="E413" s="43"/>
      <c r="F413" s="43"/>
      <c r="G413" s="43"/>
      <c r="I413" s="3"/>
      <c r="M413" s="43"/>
      <c r="O413" s="43"/>
      <c r="P413" s="43"/>
    </row>
    <row r="414" spans="1:23" ht="20.25" customHeight="1" x14ac:dyDescent="0.25">
      <c r="A414" s="20"/>
      <c r="B414" s="43"/>
      <c r="C414" s="43"/>
      <c r="D414" s="43"/>
      <c r="E414" s="43"/>
      <c r="F414" s="43"/>
      <c r="G414" s="43"/>
      <c r="I414" s="3"/>
      <c r="M414" s="43"/>
      <c r="O414" s="43"/>
      <c r="P414" s="43"/>
    </row>
    <row r="415" spans="1:23" ht="20.25" customHeight="1" x14ac:dyDescent="0.25">
      <c r="A415" s="31"/>
      <c r="I415" s="3"/>
      <c r="M415" s="43"/>
    </row>
    <row r="416" spans="1:23" ht="20.25" customHeight="1" x14ac:dyDescent="0.25">
      <c r="A416" s="32"/>
      <c r="B416" s="43"/>
      <c r="C416" s="43"/>
      <c r="D416" s="43"/>
      <c r="E416" s="43"/>
      <c r="F416" s="43"/>
      <c r="G416" s="43"/>
      <c r="I416" s="3"/>
      <c r="M416" s="43"/>
      <c r="O416" s="43"/>
      <c r="P416" s="43"/>
    </row>
    <row r="417" spans="1:16" ht="20.25" customHeight="1" x14ac:dyDescent="0.25">
      <c r="A417" s="32"/>
      <c r="B417" s="43"/>
      <c r="C417" s="43"/>
      <c r="D417" s="43"/>
      <c r="E417" s="43"/>
      <c r="F417" s="43"/>
      <c r="G417" s="43"/>
      <c r="I417" s="3"/>
      <c r="M417" s="43"/>
      <c r="O417" s="43"/>
      <c r="P417" s="43"/>
    </row>
    <row r="418" spans="1:16" ht="20.25" customHeight="1" x14ac:dyDescent="0.25">
      <c r="A418" s="32"/>
      <c r="B418" s="43"/>
      <c r="C418" s="43"/>
      <c r="D418" s="43"/>
      <c r="E418" s="43"/>
      <c r="F418" s="43"/>
      <c r="G418" s="43"/>
      <c r="H418" s="13"/>
      <c r="I418" s="13"/>
      <c r="J418" s="13"/>
      <c r="M418" s="43"/>
      <c r="O418" s="43"/>
      <c r="P418" s="43"/>
    </row>
    <row r="419" spans="1:16" ht="20.25" customHeight="1" x14ac:dyDescent="0.25">
      <c r="B419" s="44"/>
      <c r="E419" s="43"/>
      <c r="F419" s="45"/>
      <c r="H419" s="44"/>
      <c r="I419" s="44"/>
      <c r="J419" s="44"/>
    </row>
    <row r="420" spans="1:16" ht="20.25" customHeight="1" x14ac:dyDescent="0.25">
      <c r="B420" s="43"/>
      <c r="F420" s="45"/>
      <c r="H420" s="43"/>
      <c r="I420" s="43"/>
      <c r="J420" s="43"/>
    </row>
    <row r="421" spans="1:16" ht="20.25" customHeight="1" x14ac:dyDescent="0.25">
      <c r="B421" s="43"/>
      <c r="C421" s="43"/>
      <c r="D421" s="43"/>
      <c r="E421" s="43"/>
      <c r="F421" s="43"/>
      <c r="G421" s="43"/>
      <c r="H421" s="43"/>
      <c r="I421" s="43"/>
      <c r="J421" s="43"/>
      <c r="O421" s="43"/>
    </row>
    <row r="422" spans="1:16" ht="20.25" customHeight="1" x14ac:dyDescent="0.25">
      <c r="B422" s="43"/>
      <c r="C422" s="43"/>
      <c r="D422" s="43"/>
      <c r="E422" s="43"/>
      <c r="F422" s="43"/>
      <c r="G422" s="43"/>
      <c r="H422" s="43"/>
      <c r="I422" s="43"/>
      <c r="J422" s="43"/>
      <c r="O422" s="43"/>
    </row>
    <row r="423" spans="1:16" ht="20.25" customHeight="1" x14ac:dyDescent="0.25">
      <c r="B423" s="46"/>
      <c r="C423" s="46"/>
      <c r="D423" s="46"/>
      <c r="E423" s="46"/>
      <c r="F423" s="46"/>
      <c r="G423" s="43"/>
      <c r="H423" s="44"/>
      <c r="I423" s="44"/>
      <c r="J423" s="44"/>
      <c r="O423" s="46"/>
    </row>
    <row r="424" spans="1:16" ht="20.25" customHeight="1" x14ac:dyDescent="0.25">
      <c r="F424" s="45"/>
      <c r="H424" s="43"/>
      <c r="I424" s="43"/>
      <c r="J424" s="43"/>
    </row>
    <row r="425" spans="1:16" ht="20.25" customHeight="1" x14ac:dyDescent="0.25">
      <c r="B425" s="43"/>
      <c r="C425" s="43"/>
      <c r="D425" s="43"/>
      <c r="E425" s="43"/>
      <c r="F425" s="43"/>
      <c r="G425" s="43"/>
      <c r="H425" s="43"/>
      <c r="I425" s="43"/>
      <c r="J425" s="43"/>
    </row>
    <row r="426" spans="1:16" ht="20.25" customHeight="1" x14ac:dyDescent="0.25">
      <c r="B426" s="43"/>
      <c r="C426" s="43"/>
      <c r="D426" s="43"/>
      <c r="E426" s="43"/>
      <c r="F426" s="43"/>
      <c r="G426" s="43"/>
      <c r="H426" s="43"/>
      <c r="I426" s="43"/>
      <c r="J426" s="43"/>
    </row>
    <row r="427" spans="1:16" ht="20.25" customHeight="1" x14ac:dyDescent="0.25">
      <c r="B427" s="43"/>
      <c r="C427" s="43"/>
      <c r="D427" s="43"/>
      <c r="E427" s="43"/>
      <c r="F427" s="43"/>
      <c r="G427" s="43"/>
      <c r="H427" s="44"/>
      <c r="I427" s="44"/>
      <c r="J427" s="44"/>
    </row>
    <row r="428" spans="1:16" ht="20.25" customHeight="1" x14ac:dyDescent="0.25">
      <c r="F428" s="45"/>
      <c r="H428" s="43"/>
      <c r="I428" s="43"/>
      <c r="J428" s="43"/>
    </row>
    <row r="429" spans="1:16" ht="20.25" customHeight="1" x14ac:dyDescent="0.25">
      <c r="B429" s="43"/>
      <c r="C429" s="43"/>
      <c r="D429" s="43"/>
      <c r="E429" s="43"/>
      <c r="F429" s="43"/>
      <c r="G429" s="43"/>
      <c r="H429" s="43"/>
      <c r="I429" s="43"/>
      <c r="J429" s="43"/>
    </row>
    <row r="430" spans="1:16" ht="20.25" customHeight="1" x14ac:dyDescent="0.25">
      <c r="B430" s="43"/>
      <c r="C430" s="43"/>
      <c r="D430" s="43"/>
      <c r="E430" s="43"/>
      <c r="F430" s="43"/>
      <c r="G430" s="43"/>
      <c r="H430" s="43"/>
      <c r="I430" s="43"/>
      <c r="J430" s="43"/>
    </row>
    <row r="431" spans="1:16" ht="20.25" customHeight="1" x14ac:dyDescent="0.25">
      <c r="B431" s="43"/>
      <c r="C431" s="43"/>
      <c r="D431" s="43"/>
      <c r="E431" s="43"/>
      <c r="F431" s="43"/>
      <c r="G431" s="43"/>
      <c r="H431" s="44"/>
      <c r="I431" s="44"/>
      <c r="J431" s="44"/>
    </row>
    <row r="432" spans="1:16" ht="20.25" customHeight="1" x14ac:dyDescent="0.25">
      <c r="F432" s="45"/>
      <c r="H432" s="43"/>
      <c r="I432" s="43"/>
      <c r="J432" s="43"/>
    </row>
    <row r="433" spans="2:10" ht="20.25" customHeight="1" x14ac:dyDescent="0.25">
      <c r="B433" s="43"/>
      <c r="C433" s="43"/>
      <c r="D433" s="43"/>
      <c r="E433" s="43"/>
      <c r="F433" s="43"/>
      <c r="G433" s="43"/>
      <c r="H433" s="43"/>
      <c r="I433" s="43"/>
      <c r="J433" s="43"/>
    </row>
    <row r="434" spans="2:10" ht="20.25" customHeight="1" x14ac:dyDescent="0.25">
      <c r="B434" s="43"/>
      <c r="C434" s="43"/>
      <c r="D434" s="43"/>
      <c r="E434" s="43"/>
      <c r="F434" s="43"/>
      <c r="G434" s="43"/>
      <c r="H434" s="43"/>
      <c r="I434" s="43"/>
      <c r="J434" s="43"/>
    </row>
    <row r="435" spans="2:10" ht="20.25" customHeight="1" x14ac:dyDescent="0.25">
      <c r="B435" s="43"/>
      <c r="C435" s="43"/>
      <c r="D435" s="43"/>
      <c r="E435" s="43"/>
      <c r="F435" s="43"/>
      <c r="G435" s="43"/>
      <c r="H435" s="44"/>
      <c r="I435" s="44"/>
      <c r="J435" s="44"/>
    </row>
    <row r="436" spans="2:10" ht="20.25" customHeight="1" x14ac:dyDescent="0.25">
      <c r="F436" s="45"/>
      <c r="H436" s="43"/>
      <c r="I436" s="43"/>
      <c r="J436" s="43"/>
    </row>
    <row r="437" spans="2:10" ht="20.25" customHeight="1" x14ac:dyDescent="0.25">
      <c r="B437" s="43"/>
      <c r="C437" s="43"/>
      <c r="D437" s="43"/>
      <c r="E437" s="43"/>
      <c r="F437" s="43"/>
      <c r="G437" s="43"/>
    </row>
    <row r="438" spans="2:10" ht="20.25" customHeight="1" x14ac:dyDescent="0.25">
      <c r="B438" s="43"/>
      <c r="C438" s="43"/>
      <c r="D438" s="43"/>
      <c r="E438" s="43"/>
      <c r="F438" s="43"/>
      <c r="G438" s="43"/>
    </row>
    <row r="439" spans="2:10" ht="20.25" customHeight="1" x14ac:dyDescent="0.25">
      <c r="B439" s="43"/>
      <c r="C439" s="43"/>
      <c r="D439" s="43"/>
      <c r="E439" s="43"/>
      <c r="F439" s="43"/>
      <c r="G439" s="43"/>
    </row>
    <row r="440" spans="2:10" ht="20.25" customHeight="1" x14ac:dyDescent="0.25">
      <c r="F440" s="45"/>
    </row>
    <row r="441" spans="2:10" ht="20.25" customHeight="1" x14ac:dyDescent="0.25">
      <c r="F441" s="45"/>
      <c r="I441" s="3"/>
    </row>
    <row r="442" spans="2:10" ht="20.25" customHeight="1" x14ac:dyDescent="0.25">
      <c r="F442" s="45"/>
      <c r="I442" s="3"/>
    </row>
    <row r="443" spans="2:10" ht="20.25" customHeight="1" x14ac:dyDescent="0.25">
      <c r="F443" s="45"/>
      <c r="I443" s="3"/>
    </row>
    <row r="444" spans="2:10" ht="20.25" customHeight="1" x14ac:dyDescent="0.25">
      <c r="F444" s="45"/>
      <c r="I444" s="3"/>
    </row>
    <row r="445" spans="2:10" ht="20.25" customHeight="1" x14ac:dyDescent="0.25">
      <c r="F445" s="45"/>
      <c r="I445" s="3"/>
    </row>
    <row r="446" spans="2:10" ht="20.25" customHeight="1" x14ac:dyDescent="0.25">
      <c r="F446" s="45"/>
      <c r="I446" s="3"/>
    </row>
    <row r="447" spans="2:10" ht="20.25" customHeight="1" x14ac:dyDescent="0.25">
      <c r="F447" s="45"/>
      <c r="I447" s="3"/>
    </row>
    <row r="448" spans="2:10" ht="20.25" customHeight="1" x14ac:dyDescent="0.25">
      <c r="F448" s="45"/>
      <c r="I448" s="3"/>
    </row>
    <row r="449" spans="6:9" ht="20.25" customHeight="1" x14ac:dyDescent="0.25">
      <c r="F449" s="45"/>
      <c r="I449" s="3"/>
    </row>
    <row r="450" spans="6:9" ht="20.25" customHeight="1" x14ac:dyDescent="0.25">
      <c r="F450" s="45"/>
      <c r="I450" s="3"/>
    </row>
    <row r="451" spans="6:9" ht="20.25" customHeight="1" x14ac:dyDescent="0.25">
      <c r="F451" s="45"/>
      <c r="I451" s="3"/>
    </row>
    <row r="452" spans="6:9" ht="20.25" customHeight="1" x14ac:dyDescent="0.25">
      <c r="F452" s="45"/>
      <c r="I452" s="3"/>
    </row>
    <row r="453" spans="6:9" ht="20.25" customHeight="1" x14ac:dyDescent="0.25">
      <c r="F453" s="45"/>
      <c r="I453" s="3"/>
    </row>
    <row r="454" spans="6:9" ht="20.25" customHeight="1" x14ac:dyDescent="0.25">
      <c r="F454" s="45"/>
      <c r="I454" s="3"/>
    </row>
    <row r="455" spans="6:9" ht="20.25" customHeight="1" x14ac:dyDescent="0.25">
      <c r="F455" s="45"/>
      <c r="I455" s="3"/>
    </row>
    <row r="456" spans="6:9" ht="20.25" customHeight="1" x14ac:dyDescent="0.25">
      <c r="F456" s="45"/>
      <c r="I456" s="3"/>
    </row>
    <row r="457" spans="6:9" ht="20.25" customHeight="1" x14ac:dyDescent="0.25">
      <c r="F457" s="45"/>
      <c r="I457" s="3"/>
    </row>
    <row r="458" spans="6:9" ht="20.25" customHeight="1" x14ac:dyDescent="0.25">
      <c r="F458" s="45"/>
      <c r="I458" s="3"/>
    </row>
    <row r="459" spans="6:9" ht="20.25" customHeight="1" x14ac:dyDescent="0.25">
      <c r="F459" s="45"/>
      <c r="I459" s="3"/>
    </row>
    <row r="460" spans="6:9" ht="20.25" customHeight="1" x14ac:dyDescent="0.25">
      <c r="F460" s="45"/>
      <c r="I460" s="3"/>
    </row>
    <row r="461" spans="6:9" ht="20.25" customHeight="1" x14ac:dyDescent="0.25">
      <c r="F461" s="45"/>
      <c r="I461" s="3"/>
    </row>
    <row r="462" spans="6:9" ht="20.25" customHeight="1" x14ac:dyDescent="0.25">
      <c r="F462" s="45"/>
      <c r="I462" s="3"/>
    </row>
    <row r="463" spans="6:9" x14ac:dyDescent="0.25">
      <c r="F463" s="45"/>
      <c r="I463" s="3"/>
    </row>
    <row r="464" spans="6:9" x14ac:dyDescent="0.25">
      <c r="F464" s="45"/>
      <c r="I464" s="3"/>
    </row>
    <row r="465" spans="6:9" x14ac:dyDescent="0.25">
      <c r="F465" s="45"/>
      <c r="I465" s="3"/>
    </row>
    <row r="466" spans="6:9" x14ac:dyDescent="0.25">
      <c r="F466" s="45"/>
      <c r="I466" s="3"/>
    </row>
    <row r="467" spans="6:9" x14ac:dyDescent="0.25">
      <c r="F467" s="45"/>
      <c r="I467" s="3"/>
    </row>
    <row r="468" spans="6:9" x14ac:dyDescent="0.25">
      <c r="F468" s="45"/>
      <c r="I468" s="3"/>
    </row>
    <row r="469" spans="6:9" x14ac:dyDescent="0.25">
      <c r="F469" s="45"/>
      <c r="I469" s="3"/>
    </row>
    <row r="470" spans="6:9" x14ac:dyDescent="0.25">
      <c r="F470" s="45"/>
      <c r="I470" s="3"/>
    </row>
    <row r="471" spans="6:9" x14ac:dyDescent="0.25">
      <c r="F471" s="45"/>
      <c r="I471" s="3"/>
    </row>
    <row r="472" spans="6:9" x14ac:dyDescent="0.25">
      <c r="F472" s="45"/>
      <c r="I472" s="3"/>
    </row>
    <row r="473" spans="6:9" x14ac:dyDescent="0.25">
      <c r="F473" s="45"/>
      <c r="I473" s="3"/>
    </row>
    <row r="474" spans="6:9" x14ac:dyDescent="0.25">
      <c r="F474" s="45"/>
      <c r="I474" s="3"/>
    </row>
    <row r="475" spans="6:9" x14ac:dyDescent="0.25">
      <c r="F475" s="45"/>
      <c r="I475" s="3"/>
    </row>
    <row r="476" spans="6:9" x14ac:dyDescent="0.25">
      <c r="F476" s="45"/>
      <c r="I476" s="3"/>
    </row>
    <row r="477" spans="6:9" x14ac:dyDescent="0.25">
      <c r="F477" s="45"/>
      <c r="I477" s="3"/>
    </row>
    <row r="478" spans="6:9" x14ac:dyDescent="0.25">
      <c r="F478" s="45"/>
      <c r="I478" s="3"/>
    </row>
    <row r="479" spans="6:9" x14ac:dyDescent="0.25">
      <c r="F479" s="45"/>
      <c r="I479" s="3"/>
    </row>
    <row r="480" spans="6:9" x14ac:dyDescent="0.25">
      <c r="F480" s="45"/>
      <c r="I480" s="3"/>
    </row>
    <row r="481" spans="6:9" x14ac:dyDescent="0.25">
      <c r="F481" s="45"/>
      <c r="I481" s="3"/>
    </row>
    <row r="482" spans="6:9" x14ac:dyDescent="0.25">
      <c r="F482" s="45"/>
      <c r="I482" s="3"/>
    </row>
    <row r="483" spans="6:9" x14ac:dyDescent="0.25">
      <c r="F483" s="45"/>
      <c r="I483" s="3"/>
    </row>
    <row r="484" spans="6:9" x14ac:dyDescent="0.25">
      <c r="F484" s="45"/>
      <c r="I484" s="3"/>
    </row>
    <row r="485" spans="6:9" x14ac:dyDescent="0.25">
      <c r="F485" s="45"/>
      <c r="I485" s="3"/>
    </row>
    <row r="486" spans="6:9" x14ac:dyDescent="0.25">
      <c r="F486" s="45"/>
      <c r="I486" s="3"/>
    </row>
    <row r="487" spans="6:9" x14ac:dyDescent="0.25">
      <c r="F487" s="45"/>
      <c r="I487" s="3"/>
    </row>
    <row r="488" spans="6:9" x14ac:dyDescent="0.25">
      <c r="F488" s="45"/>
      <c r="I488" s="3"/>
    </row>
    <row r="489" spans="6:9" x14ac:dyDescent="0.25">
      <c r="F489" s="45"/>
      <c r="I489" s="3"/>
    </row>
    <row r="490" spans="6:9" x14ac:dyDescent="0.25">
      <c r="F490" s="45"/>
      <c r="I490" s="3"/>
    </row>
    <row r="491" spans="6:9" x14ac:dyDescent="0.25">
      <c r="F491" s="45"/>
      <c r="I491" s="3"/>
    </row>
    <row r="492" spans="6:9" x14ac:dyDescent="0.25">
      <c r="F492" s="45"/>
      <c r="I492" s="3"/>
    </row>
    <row r="493" spans="6:9" x14ac:dyDescent="0.25">
      <c r="F493" s="45"/>
      <c r="I493" s="3"/>
    </row>
    <row r="494" spans="6:9" x14ac:dyDescent="0.25">
      <c r="F494" s="45"/>
      <c r="I494" s="3"/>
    </row>
    <row r="495" spans="6:9" x14ac:dyDescent="0.25">
      <c r="F495" s="45"/>
      <c r="I495" s="3"/>
    </row>
    <row r="496" spans="6:9" x14ac:dyDescent="0.25">
      <c r="F496" s="45"/>
      <c r="I496" s="3"/>
    </row>
  </sheetData>
  <mergeCells count="2">
    <mergeCell ref="A3:G3"/>
    <mergeCell ref="H3:N3"/>
  </mergeCells>
  <pageMargins left="0.38" right="0.25" top="0.5" bottom="0.49" header="0.5" footer="0.5"/>
  <pageSetup scale="55" orientation="landscape" r:id="rId1"/>
  <headerFooter alignWithMargins="0"/>
  <rowBreaks count="6" manualBreakCount="6">
    <brk id="56" max="16383" man="1"/>
    <brk id="108" max="15" man="1"/>
    <brk id="160" max="15" man="1"/>
    <brk id="212" max="15" man="1"/>
    <brk id="264" max="15" man="1"/>
    <brk id="368" max="15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625-280A-4088-9414-8589DF5CA257}">
  <dimension ref="A1:K342"/>
  <sheetViews>
    <sheetView view="pageBreakPreview" zoomScale="60" zoomScaleNormal="100" workbookViewId="0">
      <selection activeCell="A13" sqref="A13"/>
    </sheetView>
  </sheetViews>
  <sheetFormatPr defaultColWidth="9.140625" defaultRowHeight="15.75" x14ac:dyDescent="0.25"/>
  <cols>
    <col min="1" max="1" width="116.85546875" style="3" customWidth="1"/>
    <col min="2" max="2" width="19.28515625" style="3" customWidth="1"/>
    <col min="3" max="3" width="24" style="3" customWidth="1"/>
    <col min="4" max="4" width="30.28515625" style="3" customWidth="1"/>
    <col min="5" max="5" width="18.5703125" style="3" customWidth="1"/>
    <col min="6" max="6" width="25.140625" style="3" customWidth="1"/>
    <col min="7" max="7" width="9.140625" style="3"/>
    <col min="8" max="8" width="12.7109375" style="3" customWidth="1"/>
    <col min="9" max="16384" width="9.140625" style="3"/>
  </cols>
  <sheetData>
    <row r="1" spans="1:11" ht="60" customHeight="1" x14ac:dyDescent="0.35">
      <c r="A1" s="47" t="s">
        <v>21</v>
      </c>
      <c r="B1" s="48"/>
      <c r="C1" s="48"/>
      <c r="D1" s="48"/>
      <c r="E1" s="48"/>
      <c r="F1" s="48"/>
    </row>
    <row r="2" spans="1:11" ht="50.1" customHeight="1" x14ac:dyDescent="0.35">
      <c r="A2" s="49" t="s">
        <v>22</v>
      </c>
      <c r="B2" s="48"/>
      <c r="C2" s="48"/>
      <c r="D2" s="48"/>
      <c r="E2" s="48"/>
      <c r="F2" s="48"/>
    </row>
    <row r="3" spans="1:11" ht="83.25" customHeight="1" x14ac:dyDescent="0.25">
      <c r="A3" s="58" t="s">
        <v>28</v>
      </c>
      <c r="B3" s="59"/>
      <c r="C3" s="59"/>
      <c r="D3" s="59"/>
      <c r="E3" s="59"/>
      <c r="F3" s="59"/>
    </row>
    <row r="4" spans="1:11" ht="35.1" customHeight="1" x14ac:dyDescent="0.35">
      <c r="A4" s="60" t="s">
        <v>23</v>
      </c>
      <c r="B4" s="60"/>
      <c r="C4" s="60"/>
      <c r="D4" s="60"/>
      <c r="E4" s="60"/>
      <c r="F4" s="60"/>
    </row>
    <row r="5" spans="1:11" ht="35.1" customHeight="1" x14ac:dyDescent="0.35">
      <c r="A5" s="60" t="s">
        <v>24</v>
      </c>
      <c r="B5" s="61"/>
      <c r="C5" s="61"/>
      <c r="D5" s="61"/>
      <c r="E5" s="61"/>
      <c r="F5" s="61"/>
    </row>
    <row r="6" spans="1:11" ht="50.1" customHeight="1" x14ac:dyDescent="0.25">
      <c r="A6" s="58" t="s">
        <v>25</v>
      </c>
      <c r="B6" s="59"/>
      <c r="C6" s="59"/>
      <c r="D6" s="59"/>
      <c r="E6" s="59"/>
      <c r="F6" s="59"/>
    </row>
    <row r="7" spans="1:11" ht="50.1" customHeight="1" x14ac:dyDescent="0.25">
      <c r="A7" s="58"/>
      <c r="B7" s="59"/>
      <c r="C7" s="59"/>
      <c r="D7" s="59"/>
      <c r="E7" s="59"/>
      <c r="F7" s="59"/>
      <c r="K7" s="50"/>
    </row>
    <row r="8" spans="1:11" x14ac:dyDescent="0.25">
      <c r="D8" s="3" t="s">
        <v>45</v>
      </c>
      <c r="K8" s="50"/>
    </row>
    <row r="9" spans="1:11" x14ac:dyDescent="0.25">
      <c r="K9" s="50"/>
    </row>
    <row r="10" spans="1:11" x14ac:dyDescent="0.25">
      <c r="K10" s="50"/>
    </row>
    <row r="11" spans="1:11" ht="21" customHeight="1" x14ac:dyDescent="0.25">
      <c r="C11" s="53"/>
      <c r="K11" s="50"/>
    </row>
    <row r="12" spans="1:11" x14ac:dyDescent="0.25">
      <c r="K12" s="50"/>
    </row>
    <row r="13" spans="1:11" x14ac:dyDescent="0.25">
      <c r="K13" s="50"/>
    </row>
    <row r="14" spans="1:11" x14ac:dyDescent="0.25">
      <c r="K14" s="50"/>
    </row>
    <row r="15" spans="1:11" ht="21" customHeight="1" x14ac:dyDescent="0.25">
      <c r="C15" s="53"/>
      <c r="K15" s="50"/>
    </row>
    <row r="16" spans="1:11" x14ac:dyDescent="0.25">
      <c r="K16" s="50"/>
    </row>
    <row r="17" spans="3:11" x14ac:dyDescent="0.25">
      <c r="K17" s="50"/>
    </row>
    <row r="18" spans="3:11" x14ac:dyDescent="0.25">
      <c r="K18" s="50"/>
    </row>
    <row r="19" spans="3:11" ht="17.25" customHeight="1" x14ac:dyDescent="0.25">
      <c r="C19" s="53">
        <v>0</v>
      </c>
      <c r="K19" s="50"/>
    </row>
    <row r="20" spans="3:11" x14ac:dyDescent="0.25">
      <c r="K20" s="50"/>
    </row>
    <row r="21" spans="3:11" x14ac:dyDescent="0.25">
      <c r="K21" s="50"/>
    </row>
    <row r="22" spans="3:11" x14ac:dyDescent="0.25">
      <c r="K22" s="50"/>
    </row>
    <row r="23" spans="3:11" ht="21" customHeight="1" x14ac:dyDescent="0.25">
      <c r="C23" s="53">
        <v>0</v>
      </c>
      <c r="K23" s="50"/>
    </row>
    <row r="24" spans="3:11" x14ac:dyDescent="0.25">
      <c r="K24" s="50"/>
    </row>
    <row r="25" spans="3:11" x14ac:dyDescent="0.25">
      <c r="K25" s="50"/>
    </row>
    <row r="26" spans="3:11" x14ac:dyDescent="0.25">
      <c r="K26" s="50"/>
    </row>
    <row r="27" spans="3:11" ht="21" customHeight="1" x14ac:dyDescent="0.25">
      <c r="C27" s="53"/>
      <c r="K27" s="50"/>
    </row>
    <row r="28" spans="3:11" x14ac:dyDescent="0.25">
      <c r="K28" s="50"/>
    </row>
    <row r="29" spans="3:11" x14ac:dyDescent="0.25">
      <c r="K29" s="50"/>
    </row>
    <row r="30" spans="3:11" x14ac:dyDescent="0.25">
      <c r="K30" s="50"/>
    </row>
    <row r="31" spans="3:11" x14ac:dyDescent="0.25">
      <c r="K31" s="50"/>
    </row>
    <row r="32" spans="3:11" x14ac:dyDescent="0.25">
      <c r="K32" s="50"/>
    </row>
    <row r="33" spans="3:11" x14ac:dyDescent="0.25">
      <c r="C33" s="3">
        <v>145.80000000000001</v>
      </c>
      <c r="K33" s="50"/>
    </row>
    <row r="34" spans="3:11" x14ac:dyDescent="0.25">
      <c r="C34" s="3">
        <v>14489756.52</v>
      </c>
      <c r="K34" s="50"/>
    </row>
    <row r="35" spans="3:11" x14ac:dyDescent="0.25">
      <c r="C35" s="3">
        <v>2028565.9300000002</v>
      </c>
      <c r="K35" s="50"/>
    </row>
    <row r="36" spans="3:11" x14ac:dyDescent="0.25">
      <c r="C36" s="3">
        <v>289795.14</v>
      </c>
      <c r="K36" s="50"/>
    </row>
    <row r="37" spans="3:11" x14ac:dyDescent="0.25">
      <c r="C37" s="3">
        <v>48</v>
      </c>
      <c r="K37" s="50"/>
    </row>
    <row r="38" spans="3:11" x14ac:dyDescent="0.25">
      <c r="C38" s="3">
        <v>0</v>
      </c>
      <c r="K38" s="50"/>
    </row>
    <row r="39" spans="3:11" x14ac:dyDescent="0.25">
      <c r="C39" s="3">
        <v>0</v>
      </c>
      <c r="K39" s="50"/>
    </row>
    <row r="40" spans="3:11" x14ac:dyDescent="0.25">
      <c r="C40" s="3">
        <v>0</v>
      </c>
      <c r="K40" s="50"/>
    </row>
    <row r="41" spans="3:11" x14ac:dyDescent="0.25">
      <c r="C41" s="3">
        <v>92.8</v>
      </c>
      <c r="K41" s="50"/>
    </row>
    <row r="42" spans="3:11" x14ac:dyDescent="0.25">
      <c r="C42" s="3">
        <v>13871678.460000001</v>
      </c>
      <c r="K42" s="50"/>
    </row>
    <row r="43" spans="3:11" ht="16.5" customHeight="1" x14ac:dyDescent="0.25">
      <c r="C43" s="3">
        <v>1942034.99</v>
      </c>
      <c r="K43" s="50"/>
    </row>
    <row r="44" spans="3:11" x14ac:dyDescent="0.25">
      <c r="C44" s="3">
        <v>277433.58</v>
      </c>
      <c r="K44" s="50"/>
    </row>
    <row r="45" spans="3:11" x14ac:dyDescent="0.25">
      <c r="C45" s="3">
        <v>0</v>
      </c>
      <c r="K45" s="50"/>
    </row>
    <row r="46" spans="3:11" x14ac:dyDescent="0.25">
      <c r="C46" s="3">
        <v>0</v>
      </c>
      <c r="K46" s="50"/>
    </row>
    <row r="47" spans="3:11" ht="16.5" customHeight="1" x14ac:dyDescent="0.25">
      <c r="C47" s="3">
        <v>0</v>
      </c>
      <c r="K47" s="50"/>
    </row>
    <row r="48" spans="3:11" x14ac:dyDescent="0.25">
      <c r="C48" s="3">
        <v>0</v>
      </c>
      <c r="K48" s="50"/>
    </row>
    <row r="49" spans="3:11" x14ac:dyDescent="0.25">
      <c r="C49" s="3">
        <v>0</v>
      </c>
      <c r="K49" s="50"/>
    </row>
    <row r="50" spans="3:11" x14ac:dyDescent="0.25">
      <c r="C50" s="3">
        <v>0</v>
      </c>
      <c r="K50" s="50"/>
    </row>
    <row r="51" spans="3:11" ht="16.5" customHeight="1" x14ac:dyDescent="0.25">
      <c r="C51" s="3">
        <v>0</v>
      </c>
      <c r="K51" s="50"/>
    </row>
    <row r="52" spans="3:11" x14ac:dyDescent="0.25">
      <c r="C52" s="3">
        <v>0</v>
      </c>
      <c r="K52" s="50"/>
    </row>
    <row r="53" spans="3:11" x14ac:dyDescent="0.25">
      <c r="C53" s="3">
        <v>5</v>
      </c>
      <c r="K53" s="50"/>
    </row>
    <row r="54" spans="3:11" x14ac:dyDescent="0.25">
      <c r="C54" s="3">
        <v>618078.05999999994</v>
      </c>
      <c r="K54" s="50"/>
    </row>
    <row r="55" spans="3:11" x14ac:dyDescent="0.25">
      <c r="C55" s="3">
        <v>86530.94</v>
      </c>
      <c r="K55" s="50"/>
    </row>
    <row r="56" spans="3:11" x14ac:dyDescent="0.25">
      <c r="C56" s="3">
        <v>12361.56</v>
      </c>
      <c r="K56" s="50"/>
    </row>
    <row r="57" spans="3:11" x14ac:dyDescent="0.25">
      <c r="K57" s="50"/>
    </row>
    <row r="58" spans="3:11" x14ac:dyDescent="0.25">
      <c r="K58" s="50"/>
    </row>
    <row r="59" spans="3:11" x14ac:dyDescent="0.25">
      <c r="C59" s="3">
        <v>120</v>
      </c>
      <c r="D59" s="3" t="s">
        <v>44</v>
      </c>
      <c r="K59" s="50"/>
    </row>
    <row r="60" spans="3:11" x14ac:dyDescent="0.25">
      <c r="C60" s="3">
        <v>5737446.4799999995</v>
      </c>
      <c r="K60" s="50"/>
    </row>
    <row r="61" spans="3:11" x14ac:dyDescent="0.25">
      <c r="C61" s="3">
        <v>855830.80999999994</v>
      </c>
      <c r="K61" s="50"/>
    </row>
    <row r="62" spans="3:11" x14ac:dyDescent="0.25">
      <c r="C62" s="3">
        <v>114748.92</v>
      </c>
      <c r="K62" s="50"/>
    </row>
    <row r="63" spans="3:11" x14ac:dyDescent="0.25">
      <c r="C63" s="3">
        <v>27</v>
      </c>
      <c r="K63" s="50"/>
    </row>
    <row r="64" spans="3:11" x14ac:dyDescent="0.25">
      <c r="C64" s="3">
        <v>0</v>
      </c>
      <c r="K64" s="50"/>
    </row>
    <row r="65" spans="3:11" x14ac:dyDescent="0.25">
      <c r="C65" s="3">
        <v>0</v>
      </c>
      <c r="K65" s="50"/>
    </row>
    <row r="66" spans="3:11" x14ac:dyDescent="0.25">
      <c r="C66" s="3">
        <v>0</v>
      </c>
      <c r="K66" s="50"/>
    </row>
    <row r="67" spans="3:11" x14ac:dyDescent="0.25">
      <c r="C67" s="3">
        <v>84</v>
      </c>
      <c r="K67" s="50"/>
    </row>
    <row r="68" spans="3:11" x14ac:dyDescent="0.25">
      <c r="C68" s="3">
        <v>5558591.4799999995</v>
      </c>
      <c r="K68" s="50"/>
    </row>
    <row r="69" spans="3:11" x14ac:dyDescent="0.25">
      <c r="C69" s="3">
        <v>778202.8</v>
      </c>
      <c r="K69" s="50"/>
    </row>
    <row r="70" spans="3:11" x14ac:dyDescent="0.25">
      <c r="C70" s="3">
        <v>111171.81999999999</v>
      </c>
      <c r="K70" s="50"/>
    </row>
    <row r="71" spans="3:11" x14ac:dyDescent="0.25">
      <c r="C71" s="3">
        <v>0</v>
      </c>
      <c r="K71" s="50"/>
    </row>
    <row r="72" spans="3:11" x14ac:dyDescent="0.25">
      <c r="C72" s="3">
        <v>0</v>
      </c>
      <c r="K72" s="50"/>
    </row>
    <row r="73" spans="3:11" x14ac:dyDescent="0.25">
      <c r="C73" s="3">
        <v>0</v>
      </c>
      <c r="K73" s="50"/>
    </row>
    <row r="74" spans="3:11" x14ac:dyDescent="0.25">
      <c r="C74" s="3">
        <v>0</v>
      </c>
      <c r="K74" s="50"/>
    </row>
    <row r="75" spans="3:11" x14ac:dyDescent="0.25">
      <c r="C75" s="3">
        <v>4</v>
      </c>
      <c r="K75" s="50"/>
    </row>
    <row r="76" spans="3:11" x14ac:dyDescent="0.25">
      <c r="C76" s="3">
        <v>154671.5</v>
      </c>
      <c r="K76" s="50"/>
    </row>
    <row r="77" spans="3:11" x14ac:dyDescent="0.25">
      <c r="C77" s="3">
        <v>74242.320000000007</v>
      </c>
      <c r="K77" s="50"/>
    </row>
    <row r="78" spans="3:11" x14ac:dyDescent="0.25">
      <c r="C78" s="3">
        <v>3093.43</v>
      </c>
      <c r="K78" s="50"/>
    </row>
    <row r="79" spans="3:11" x14ac:dyDescent="0.25">
      <c r="C79" s="3">
        <v>5</v>
      </c>
      <c r="K79" s="50"/>
    </row>
    <row r="80" spans="3:11" x14ac:dyDescent="0.25">
      <c r="C80" s="3">
        <v>24183.5</v>
      </c>
      <c r="H80" s="51"/>
      <c r="K80" s="50"/>
    </row>
    <row r="81" spans="3:11" x14ac:dyDescent="0.25">
      <c r="C81" s="3">
        <v>3385.69</v>
      </c>
      <c r="H81" s="51"/>
      <c r="K81" s="50"/>
    </row>
    <row r="82" spans="3:11" x14ac:dyDescent="0.25">
      <c r="C82" s="3">
        <v>483.66999999999996</v>
      </c>
      <c r="H82" s="51"/>
      <c r="K82" s="50"/>
    </row>
    <row r="83" spans="3:11" x14ac:dyDescent="0.25">
      <c r="K83" s="50"/>
    </row>
    <row r="84" spans="3:11" x14ac:dyDescent="0.25">
      <c r="K84" s="50"/>
    </row>
    <row r="85" spans="3:11" x14ac:dyDescent="0.25">
      <c r="C85" s="3">
        <v>41</v>
      </c>
      <c r="K85" s="50"/>
    </row>
    <row r="86" spans="3:11" x14ac:dyDescent="0.25">
      <c r="C86" s="3">
        <v>1542179.6900000002</v>
      </c>
      <c r="K86" s="50"/>
    </row>
    <row r="87" spans="3:11" x14ac:dyDescent="0.25">
      <c r="C87" s="3">
        <v>215905.16</v>
      </c>
      <c r="K87" s="50"/>
    </row>
    <row r="88" spans="3:11" x14ac:dyDescent="0.25">
      <c r="C88" s="3">
        <v>30843.589999999997</v>
      </c>
      <c r="K88" s="50"/>
    </row>
    <row r="89" spans="3:11" x14ac:dyDescent="0.25">
      <c r="C89" s="3">
        <v>7</v>
      </c>
      <c r="K89" s="50"/>
    </row>
    <row r="90" spans="3:11" x14ac:dyDescent="0.25">
      <c r="C90" s="3">
        <v>0</v>
      </c>
      <c r="K90" s="50"/>
    </row>
    <row r="91" spans="3:11" ht="20.25" customHeight="1" x14ac:dyDescent="0.25">
      <c r="C91" s="3">
        <v>0</v>
      </c>
      <c r="K91" s="50"/>
    </row>
    <row r="92" spans="3:11" x14ac:dyDescent="0.25">
      <c r="C92" s="3">
        <v>0</v>
      </c>
      <c r="K92" s="50"/>
    </row>
    <row r="93" spans="3:11" ht="19.5" customHeight="1" x14ac:dyDescent="0.25">
      <c r="C93" s="3">
        <v>30</v>
      </c>
      <c r="K93" s="50"/>
    </row>
    <row r="94" spans="3:11" x14ac:dyDescent="0.25">
      <c r="C94" s="3">
        <v>1435667.11</v>
      </c>
      <c r="K94" s="50"/>
    </row>
    <row r="95" spans="3:11" ht="19.5" customHeight="1" x14ac:dyDescent="0.25">
      <c r="C95" s="3">
        <v>200993.4</v>
      </c>
      <c r="K95" s="50"/>
    </row>
    <row r="96" spans="3:11" x14ac:dyDescent="0.25">
      <c r="C96" s="3">
        <v>28713.35</v>
      </c>
      <c r="K96" s="50"/>
    </row>
    <row r="97" spans="3:11" ht="19.5" customHeight="1" x14ac:dyDescent="0.25">
      <c r="C97" s="3">
        <v>0</v>
      </c>
      <c r="K97" s="50"/>
    </row>
    <row r="98" spans="3:11" x14ac:dyDescent="0.25">
      <c r="C98" s="3">
        <v>0</v>
      </c>
      <c r="K98" s="50"/>
    </row>
    <row r="99" spans="3:11" ht="19.5" customHeight="1" x14ac:dyDescent="0.25">
      <c r="C99" s="3">
        <v>0</v>
      </c>
      <c r="K99" s="50"/>
    </row>
    <row r="100" spans="3:11" x14ac:dyDescent="0.25">
      <c r="C100" s="3">
        <v>0</v>
      </c>
      <c r="K100" s="50"/>
    </row>
    <row r="101" spans="3:11" ht="20.25" customHeight="1" x14ac:dyDescent="0.25">
      <c r="C101" s="3">
        <v>0</v>
      </c>
      <c r="K101" s="50"/>
    </row>
    <row r="102" spans="3:11" x14ac:dyDescent="0.25">
      <c r="C102" s="3">
        <v>0</v>
      </c>
      <c r="K102" s="50"/>
    </row>
    <row r="103" spans="3:11" ht="21" customHeight="1" x14ac:dyDescent="0.25">
      <c r="C103" s="3">
        <v>0</v>
      </c>
      <c r="K103" s="50"/>
    </row>
    <row r="104" spans="3:11" x14ac:dyDescent="0.25">
      <c r="C104" s="3">
        <v>0</v>
      </c>
      <c r="K104" s="50"/>
    </row>
    <row r="105" spans="3:11" x14ac:dyDescent="0.25">
      <c r="C105" s="3">
        <v>4</v>
      </c>
    </row>
    <row r="106" spans="3:11" x14ac:dyDescent="0.25">
      <c r="C106" s="3">
        <v>106512.58</v>
      </c>
    </row>
    <row r="107" spans="3:11" x14ac:dyDescent="0.25">
      <c r="C107" s="3">
        <v>14911.759999999998</v>
      </c>
    </row>
    <row r="108" spans="3:11" x14ac:dyDescent="0.25">
      <c r="C108" s="3">
        <v>2130.2400000000002</v>
      </c>
    </row>
    <row r="109" spans="3:11" x14ac:dyDescent="0.25">
      <c r="K109" s="50"/>
    </row>
    <row r="110" spans="3:11" x14ac:dyDescent="0.25">
      <c r="K110" s="50"/>
    </row>
    <row r="111" spans="3:11" x14ac:dyDescent="0.25">
      <c r="C111" s="3">
        <v>85</v>
      </c>
      <c r="K111" s="50"/>
    </row>
    <row r="112" spans="3:11" x14ac:dyDescent="0.25">
      <c r="C112" s="3">
        <v>2344348.8199999998</v>
      </c>
      <c r="D112" s="3" t="s">
        <v>44</v>
      </c>
      <c r="K112" s="50"/>
    </row>
    <row r="113" spans="3:11" ht="18.75" customHeight="1" x14ac:dyDescent="0.25">
      <c r="C113" s="3">
        <v>338409.87</v>
      </c>
      <c r="K113" s="50"/>
    </row>
    <row r="114" spans="3:11" x14ac:dyDescent="0.25">
      <c r="C114" s="3">
        <v>46886.990000000005</v>
      </c>
      <c r="K114" s="50"/>
    </row>
    <row r="115" spans="3:11" ht="21" customHeight="1" x14ac:dyDescent="0.25">
      <c r="C115" s="3">
        <v>14</v>
      </c>
      <c r="K115" s="50"/>
    </row>
    <row r="116" spans="3:11" x14ac:dyDescent="0.25">
      <c r="C116" s="3">
        <v>0</v>
      </c>
      <c r="K116" s="50"/>
    </row>
    <row r="117" spans="3:11" ht="21" customHeight="1" x14ac:dyDescent="0.25">
      <c r="C117" s="3">
        <v>0</v>
      </c>
      <c r="K117" s="50"/>
    </row>
    <row r="118" spans="3:11" x14ac:dyDescent="0.25">
      <c r="C118" s="3">
        <v>0</v>
      </c>
      <c r="K118" s="50"/>
    </row>
    <row r="119" spans="3:11" ht="21" customHeight="1" x14ac:dyDescent="0.25">
      <c r="C119" s="3">
        <v>67</v>
      </c>
      <c r="K119" s="50"/>
    </row>
    <row r="120" spans="3:11" x14ac:dyDescent="0.25">
      <c r="C120" s="3">
        <v>2286365.2599999998</v>
      </c>
      <c r="K120" s="50"/>
    </row>
    <row r="121" spans="3:11" ht="19.5" customHeight="1" x14ac:dyDescent="0.25">
      <c r="C121" s="3">
        <v>320091.15000000002</v>
      </c>
      <c r="K121" s="50"/>
    </row>
    <row r="122" spans="3:11" x14ac:dyDescent="0.25">
      <c r="C122" s="3">
        <v>45727.32</v>
      </c>
      <c r="K122" s="50"/>
    </row>
    <row r="123" spans="3:11" ht="20.25" customHeight="1" x14ac:dyDescent="0.25">
      <c r="C123" s="3">
        <v>0</v>
      </c>
      <c r="K123" s="50"/>
    </row>
    <row r="124" spans="3:11" x14ac:dyDescent="0.25">
      <c r="C124" s="3">
        <v>0</v>
      </c>
      <c r="K124" s="50"/>
    </row>
    <row r="125" spans="3:11" ht="19.5" customHeight="1" x14ac:dyDescent="0.25">
      <c r="C125" s="3">
        <v>0</v>
      </c>
      <c r="K125" s="50"/>
    </row>
    <row r="126" spans="3:11" x14ac:dyDescent="0.25">
      <c r="C126" s="3">
        <v>0</v>
      </c>
      <c r="K126" s="50"/>
    </row>
    <row r="127" spans="3:11" ht="18.75" customHeight="1" x14ac:dyDescent="0.25">
      <c r="C127" s="3">
        <v>2</v>
      </c>
      <c r="K127" s="50"/>
    </row>
    <row r="128" spans="3:11" x14ac:dyDescent="0.25">
      <c r="C128" s="3">
        <v>30003</v>
      </c>
      <c r="K128" s="50"/>
    </row>
    <row r="129" spans="3:11" ht="20.25" customHeight="1" x14ac:dyDescent="0.25">
      <c r="C129" s="3">
        <v>14401.44</v>
      </c>
      <c r="K129" s="50"/>
    </row>
    <row r="130" spans="3:11" x14ac:dyDescent="0.25">
      <c r="C130" s="3">
        <v>600.05999999999995</v>
      </c>
      <c r="K130" s="50"/>
    </row>
    <row r="131" spans="3:11" x14ac:dyDescent="0.25">
      <c r="C131" s="3">
        <v>2</v>
      </c>
    </row>
    <row r="132" spans="3:11" x14ac:dyDescent="0.25">
      <c r="C132" s="3">
        <v>27980.559999999998</v>
      </c>
    </row>
    <row r="133" spans="3:11" x14ac:dyDescent="0.25">
      <c r="C133" s="3">
        <v>3917.2799999999997</v>
      </c>
    </row>
    <row r="134" spans="3:11" x14ac:dyDescent="0.25">
      <c r="C134" s="3">
        <v>559.61</v>
      </c>
    </row>
    <row r="135" spans="3:11" x14ac:dyDescent="0.25">
      <c r="K135" s="50"/>
    </row>
    <row r="136" spans="3:11" x14ac:dyDescent="0.25">
      <c r="K136" s="50"/>
    </row>
    <row r="137" spans="3:11" x14ac:dyDescent="0.25">
      <c r="C137" s="3">
        <v>83</v>
      </c>
      <c r="K137" s="50"/>
    </row>
    <row r="138" spans="3:11" x14ac:dyDescent="0.25">
      <c r="C138" s="3">
        <v>3867201.7099999995</v>
      </c>
      <c r="K138" s="50"/>
    </row>
    <row r="139" spans="3:11" ht="19.5" customHeight="1" x14ac:dyDescent="0.25">
      <c r="C139" s="3">
        <v>541408.24</v>
      </c>
      <c r="K139" s="50"/>
    </row>
    <row r="140" spans="3:11" x14ac:dyDescent="0.25">
      <c r="C140" s="3">
        <v>77344.040000000008</v>
      </c>
      <c r="K140" s="50"/>
    </row>
    <row r="141" spans="3:11" ht="18.75" customHeight="1" x14ac:dyDescent="0.25">
      <c r="C141" s="3">
        <v>12</v>
      </c>
      <c r="K141" s="50"/>
    </row>
    <row r="142" spans="3:11" x14ac:dyDescent="0.25">
      <c r="C142" s="3">
        <v>0</v>
      </c>
      <c r="K142" s="50"/>
    </row>
    <row r="143" spans="3:11" ht="19.5" customHeight="1" x14ac:dyDescent="0.25">
      <c r="C143" s="3">
        <v>0</v>
      </c>
      <c r="K143" s="50"/>
    </row>
    <row r="144" spans="3:11" x14ac:dyDescent="0.25">
      <c r="C144" s="3">
        <v>0</v>
      </c>
      <c r="K144" s="50"/>
    </row>
    <row r="145" spans="3:11" ht="21" customHeight="1" x14ac:dyDescent="0.25">
      <c r="C145" s="3">
        <v>69</v>
      </c>
      <c r="K145" s="50"/>
    </row>
    <row r="146" spans="3:11" x14ac:dyDescent="0.25">
      <c r="C146" s="3">
        <v>3674744.35</v>
      </c>
      <c r="K146" s="50"/>
    </row>
    <row r="147" spans="3:11" ht="18.75" customHeight="1" x14ac:dyDescent="0.25">
      <c r="C147" s="3">
        <v>514464.20999999996</v>
      </c>
      <c r="K147" s="50"/>
    </row>
    <row r="148" spans="3:11" x14ac:dyDescent="0.25">
      <c r="C148" s="3">
        <v>73494.890000000014</v>
      </c>
      <c r="K148" s="50"/>
    </row>
    <row r="149" spans="3:11" ht="18.75" customHeight="1" x14ac:dyDescent="0.25">
      <c r="C149" s="3">
        <v>0</v>
      </c>
      <c r="K149" s="50"/>
    </row>
    <row r="150" spans="3:11" x14ac:dyDescent="0.25">
      <c r="C150" s="3">
        <v>0</v>
      </c>
      <c r="K150" s="50"/>
    </row>
    <row r="151" spans="3:11" ht="18.75" customHeight="1" x14ac:dyDescent="0.25">
      <c r="C151" s="3">
        <v>0</v>
      </c>
      <c r="K151" s="50"/>
    </row>
    <row r="152" spans="3:11" x14ac:dyDescent="0.25">
      <c r="C152" s="3">
        <v>0</v>
      </c>
      <c r="K152" s="50"/>
    </row>
    <row r="153" spans="3:11" ht="21.75" customHeight="1" x14ac:dyDescent="0.25">
      <c r="C153" s="3">
        <v>0</v>
      </c>
      <c r="K153" s="50"/>
    </row>
    <row r="154" spans="3:11" x14ac:dyDescent="0.25">
      <c r="C154" s="3">
        <v>0</v>
      </c>
      <c r="K154" s="50"/>
    </row>
    <row r="155" spans="3:11" ht="19.5" customHeight="1" x14ac:dyDescent="0.25">
      <c r="C155" s="3">
        <v>0</v>
      </c>
      <c r="K155" s="50"/>
    </row>
    <row r="156" spans="3:11" x14ac:dyDescent="0.25">
      <c r="C156" s="3">
        <v>0</v>
      </c>
      <c r="K156" s="50"/>
    </row>
    <row r="157" spans="3:11" x14ac:dyDescent="0.25">
      <c r="C157" s="3">
        <v>2</v>
      </c>
      <c r="K157" s="50"/>
    </row>
    <row r="158" spans="3:11" x14ac:dyDescent="0.25">
      <c r="C158" s="3">
        <v>192457.36</v>
      </c>
      <c r="K158" s="50"/>
    </row>
    <row r="159" spans="3:11" ht="18" customHeight="1" x14ac:dyDescent="0.25">
      <c r="C159" s="3">
        <v>26944.03</v>
      </c>
      <c r="K159" s="50"/>
    </row>
    <row r="160" spans="3:11" x14ac:dyDescent="0.25">
      <c r="C160" s="3">
        <v>3849.1499999999996</v>
      </c>
      <c r="K160" s="50"/>
    </row>
    <row r="161" spans="3:11" ht="19.5" customHeight="1" x14ac:dyDescent="0.25">
      <c r="C161" s="45"/>
      <c r="K161" s="50"/>
    </row>
    <row r="162" spans="3:11" x14ac:dyDescent="0.25">
      <c r="K162" s="50"/>
    </row>
    <row r="163" spans="3:11" ht="21" customHeight="1" x14ac:dyDescent="0.25">
      <c r="C163" s="3">
        <v>77</v>
      </c>
      <c r="K163" s="50"/>
    </row>
    <row r="164" spans="3:11" x14ac:dyDescent="0.25">
      <c r="C164" s="3">
        <v>3049756.52</v>
      </c>
      <c r="K164" s="50"/>
    </row>
    <row r="165" spans="3:11" ht="19.5" customHeight="1" x14ac:dyDescent="0.25">
      <c r="C165" s="3">
        <v>426965.91</v>
      </c>
      <c r="K165" s="50"/>
    </row>
    <row r="166" spans="3:11" x14ac:dyDescent="0.25">
      <c r="C166" s="3">
        <v>60995.14</v>
      </c>
      <c r="K166" s="50"/>
    </row>
    <row r="167" spans="3:11" ht="20.25" customHeight="1" x14ac:dyDescent="0.25">
      <c r="C167" s="3">
        <v>17</v>
      </c>
      <c r="K167" s="50"/>
    </row>
    <row r="168" spans="3:11" x14ac:dyDescent="0.25">
      <c r="C168" s="3">
        <v>0</v>
      </c>
      <c r="K168" s="50"/>
    </row>
    <row r="169" spans="3:11" ht="20.25" customHeight="1" x14ac:dyDescent="0.25">
      <c r="C169" s="3">
        <v>0</v>
      </c>
      <c r="K169" s="50"/>
    </row>
    <row r="170" spans="3:11" x14ac:dyDescent="0.25">
      <c r="C170" s="3">
        <v>0</v>
      </c>
      <c r="K170" s="50"/>
    </row>
    <row r="171" spans="3:11" ht="20.25" customHeight="1" x14ac:dyDescent="0.25">
      <c r="C171" s="3">
        <v>55</v>
      </c>
      <c r="K171" s="50"/>
    </row>
    <row r="172" spans="3:11" x14ac:dyDescent="0.25">
      <c r="C172" s="3">
        <v>2977761.75</v>
      </c>
      <c r="K172" s="50"/>
    </row>
    <row r="173" spans="3:11" ht="19.5" customHeight="1" x14ac:dyDescent="0.25">
      <c r="C173" s="3">
        <v>416886.64999999997</v>
      </c>
      <c r="K173" s="50"/>
    </row>
    <row r="174" spans="3:11" x14ac:dyDescent="0.25">
      <c r="C174" s="3">
        <v>59555.24</v>
      </c>
      <c r="K174" s="50"/>
    </row>
    <row r="175" spans="3:11" ht="19.5" customHeight="1" x14ac:dyDescent="0.25">
      <c r="C175" s="3">
        <v>0</v>
      </c>
      <c r="K175" s="50"/>
    </row>
    <row r="176" spans="3:11" x14ac:dyDescent="0.25">
      <c r="C176" s="3">
        <v>0</v>
      </c>
      <c r="K176" s="50"/>
    </row>
    <row r="177" spans="1:11" ht="20.25" customHeight="1" x14ac:dyDescent="0.25">
      <c r="C177" s="3">
        <v>0</v>
      </c>
      <c r="K177" s="50"/>
    </row>
    <row r="178" spans="1:11" x14ac:dyDescent="0.25">
      <c r="C178" s="3">
        <v>0</v>
      </c>
      <c r="K178" s="50"/>
    </row>
    <row r="179" spans="1:11" x14ac:dyDescent="0.25">
      <c r="C179" s="3">
        <v>0</v>
      </c>
      <c r="K179" s="50"/>
    </row>
    <row r="180" spans="1:11" x14ac:dyDescent="0.25">
      <c r="C180" s="3">
        <v>0</v>
      </c>
      <c r="K180" s="50"/>
    </row>
    <row r="181" spans="1:11" x14ac:dyDescent="0.25">
      <c r="C181" s="3">
        <v>0</v>
      </c>
      <c r="K181" s="50"/>
    </row>
    <row r="182" spans="1:11" x14ac:dyDescent="0.25">
      <c r="C182" s="3">
        <v>0</v>
      </c>
      <c r="K182" s="50"/>
    </row>
    <row r="183" spans="1:11" x14ac:dyDescent="0.25">
      <c r="C183" s="3">
        <v>5</v>
      </c>
      <c r="K183" s="50"/>
    </row>
    <row r="184" spans="1:11" x14ac:dyDescent="0.25">
      <c r="C184" s="3">
        <v>71994.77</v>
      </c>
      <c r="K184" s="50"/>
    </row>
    <row r="185" spans="1:11" ht="18.75" customHeight="1" x14ac:dyDescent="0.25">
      <c r="C185" s="3">
        <v>10079.259999999998</v>
      </c>
      <c r="K185" s="50"/>
    </row>
    <row r="186" spans="1:11" x14ac:dyDescent="0.25">
      <c r="C186" s="3">
        <v>1439.8999999999999</v>
      </c>
      <c r="K186" s="50"/>
    </row>
    <row r="187" spans="1:11" ht="19.5" customHeight="1" x14ac:dyDescent="0.25">
      <c r="K187" s="50"/>
    </row>
    <row r="188" spans="1:11" x14ac:dyDescent="0.25">
      <c r="A188" s="3" t="s">
        <v>18</v>
      </c>
      <c r="K188" s="50"/>
    </row>
    <row r="189" spans="1:11" ht="21" customHeight="1" x14ac:dyDescent="0.25">
      <c r="C189" s="3">
        <v>222</v>
      </c>
      <c r="K189" s="50"/>
    </row>
    <row r="190" spans="1:11" x14ac:dyDescent="0.25">
      <c r="C190" s="3">
        <v>12815932.629999999</v>
      </c>
      <c r="K190" s="50"/>
    </row>
    <row r="191" spans="1:11" ht="19.5" customHeight="1" x14ac:dyDescent="0.25">
      <c r="C191" s="3">
        <v>1794230.5800000003</v>
      </c>
      <c r="K191" s="50"/>
    </row>
    <row r="192" spans="1:11" x14ac:dyDescent="0.25">
      <c r="C192" s="3">
        <v>256318.66</v>
      </c>
      <c r="K192" s="50"/>
    </row>
    <row r="193" spans="3:11" ht="20.25" customHeight="1" x14ac:dyDescent="0.25">
      <c r="C193" s="3">
        <v>26</v>
      </c>
      <c r="K193" s="50"/>
    </row>
    <row r="194" spans="3:11" x14ac:dyDescent="0.25">
      <c r="C194" s="3">
        <v>0</v>
      </c>
      <c r="K194" s="50"/>
    </row>
    <row r="195" spans="3:11" ht="20.25" customHeight="1" x14ac:dyDescent="0.25">
      <c r="C195" s="3">
        <v>0</v>
      </c>
      <c r="K195" s="50"/>
    </row>
    <row r="196" spans="3:11" x14ac:dyDescent="0.25">
      <c r="C196" s="3">
        <v>0</v>
      </c>
      <c r="K196" s="50"/>
    </row>
    <row r="197" spans="3:11" ht="18.75" customHeight="1" x14ac:dyDescent="0.25">
      <c r="C197" s="3">
        <v>159</v>
      </c>
      <c r="K197" s="50"/>
    </row>
    <row r="198" spans="3:11" x14ac:dyDescent="0.25">
      <c r="C198" s="3">
        <v>12068950.93</v>
      </c>
      <c r="K198" s="50"/>
    </row>
    <row r="199" spans="3:11" ht="19.5" customHeight="1" x14ac:dyDescent="0.25">
      <c r="C199" s="3">
        <v>1689653.14</v>
      </c>
      <c r="K199" s="50"/>
    </row>
    <row r="200" spans="3:11" x14ac:dyDescent="0.25">
      <c r="C200" s="3">
        <v>241379.02000000002</v>
      </c>
      <c r="K200" s="50"/>
    </row>
    <row r="201" spans="3:11" ht="19.5" customHeight="1" x14ac:dyDescent="0.25">
      <c r="C201" s="3">
        <v>0</v>
      </c>
      <c r="K201" s="50"/>
    </row>
    <row r="202" spans="3:11" x14ac:dyDescent="0.25">
      <c r="C202" s="3">
        <v>0</v>
      </c>
      <c r="K202" s="50"/>
    </row>
    <row r="203" spans="3:11" ht="18.75" customHeight="1" x14ac:dyDescent="0.25">
      <c r="C203" s="3">
        <v>0</v>
      </c>
      <c r="K203" s="50"/>
    </row>
    <row r="204" spans="3:11" x14ac:dyDescent="0.25">
      <c r="C204" s="3">
        <v>0</v>
      </c>
      <c r="K204" s="50"/>
    </row>
    <row r="205" spans="3:11" x14ac:dyDescent="0.25">
      <c r="C205" s="3">
        <v>0</v>
      </c>
      <c r="K205" s="50"/>
    </row>
    <row r="206" spans="3:11" x14ac:dyDescent="0.25">
      <c r="C206" s="3">
        <v>0</v>
      </c>
      <c r="K206" s="50"/>
    </row>
    <row r="207" spans="3:11" x14ac:dyDescent="0.25">
      <c r="C207" s="3">
        <v>0</v>
      </c>
      <c r="K207" s="50"/>
    </row>
    <row r="208" spans="3:11" x14ac:dyDescent="0.25">
      <c r="C208" s="3">
        <v>0</v>
      </c>
      <c r="K208" s="50"/>
    </row>
    <row r="209" spans="3:11" x14ac:dyDescent="0.25">
      <c r="C209" s="3">
        <v>37</v>
      </c>
      <c r="K209" s="50"/>
    </row>
    <row r="210" spans="3:11" x14ac:dyDescent="0.25">
      <c r="C210" s="3">
        <v>746981.7</v>
      </c>
      <c r="K210" s="50"/>
    </row>
    <row r="211" spans="3:11" x14ac:dyDescent="0.25">
      <c r="C211" s="3">
        <v>104577.44</v>
      </c>
      <c r="K211" s="50"/>
    </row>
    <row r="212" spans="3:11" x14ac:dyDescent="0.25">
      <c r="C212" s="3">
        <v>14939.640000000001</v>
      </c>
      <c r="K212" s="50"/>
    </row>
    <row r="213" spans="3:11" ht="19.5" customHeight="1" x14ac:dyDescent="0.25">
      <c r="K213" s="50"/>
    </row>
    <row r="214" spans="3:11" x14ac:dyDescent="0.25">
      <c r="K214" s="50"/>
    </row>
    <row r="215" spans="3:11" ht="19.5" customHeight="1" x14ac:dyDescent="0.25">
      <c r="C215" s="3">
        <v>111</v>
      </c>
      <c r="K215" s="50"/>
    </row>
    <row r="216" spans="3:11" x14ac:dyDescent="0.25">
      <c r="C216" s="3">
        <v>5438105.8900000006</v>
      </c>
      <c r="K216" s="50"/>
    </row>
    <row r="217" spans="3:11" ht="19.5" customHeight="1" x14ac:dyDescent="0.25">
      <c r="C217" s="3">
        <v>761334.84</v>
      </c>
      <c r="K217" s="50"/>
    </row>
    <row r="218" spans="3:11" x14ac:dyDescent="0.25">
      <c r="C218" s="3">
        <v>108762.13</v>
      </c>
      <c r="K218" s="50"/>
    </row>
    <row r="219" spans="3:11" ht="20.25" customHeight="1" x14ac:dyDescent="0.25">
      <c r="C219" s="3">
        <v>0</v>
      </c>
      <c r="K219" s="50"/>
    </row>
    <row r="220" spans="3:11" x14ac:dyDescent="0.25">
      <c r="C220" s="3">
        <v>0</v>
      </c>
      <c r="K220" s="50"/>
    </row>
    <row r="221" spans="3:11" ht="18.75" customHeight="1" x14ac:dyDescent="0.25">
      <c r="C221" s="3">
        <v>0</v>
      </c>
      <c r="K221" s="50"/>
    </row>
    <row r="222" spans="3:11" x14ac:dyDescent="0.25">
      <c r="C222" s="3">
        <v>0</v>
      </c>
      <c r="K222" s="50"/>
    </row>
    <row r="223" spans="3:11" ht="19.5" customHeight="1" x14ac:dyDescent="0.25">
      <c r="C223" s="3">
        <v>100</v>
      </c>
      <c r="K223" s="50"/>
    </row>
    <row r="224" spans="3:11" x14ac:dyDescent="0.25">
      <c r="C224" s="3">
        <v>5206329.1399999997</v>
      </c>
      <c r="K224" s="50"/>
    </row>
    <row r="225" spans="3:11" ht="20.25" customHeight="1" x14ac:dyDescent="0.25">
      <c r="C225" s="3">
        <v>728886.09</v>
      </c>
      <c r="K225" s="50"/>
    </row>
    <row r="226" spans="3:11" x14ac:dyDescent="0.25">
      <c r="C226" s="3">
        <v>104126.59</v>
      </c>
      <c r="K226" s="50"/>
    </row>
    <row r="227" spans="3:11" ht="20.25" customHeight="1" x14ac:dyDescent="0.25">
      <c r="C227" s="3">
        <v>0</v>
      </c>
      <c r="K227" s="50"/>
    </row>
    <row r="228" spans="3:11" x14ac:dyDescent="0.25">
      <c r="C228" s="3">
        <v>0</v>
      </c>
      <c r="K228" s="50"/>
    </row>
    <row r="229" spans="3:11" ht="19.5" customHeight="1" x14ac:dyDescent="0.25">
      <c r="C229" s="3">
        <v>0</v>
      </c>
      <c r="K229" s="50"/>
    </row>
    <row r="230" spans="3:11" x14ac:dyDescent="0.25">
      <c r="C230" s="3">
        <v>0</v>
      </c>
      <c r="K230" s="50"/>
    </row>
    <row r="231" spans="3:11" x14ac:dyDescent="0.25">
      <c r="C231" s="3">
        <v>0</v>
      </c>
      <c r="K231" s="50"/>
    </row>
    <row r="232" spans="3:11" x14ac:dyDescent="0.25">
      <c r="C232" s="3">
        <v>0</v>
      </c>
      <c r="K232" s="50"/>
    </row>
    <row r="233" spans="3:11" x14ac:dyDescent="0.25">
      <c r="C233" s="3">
        <v>0</v>
      </c>
      <c r="K233" s="50"/>
    </row>
    <row r="234" spans="3:11" x14ac:dyDescent="0.25">
      <c r="C234" s="3">
        <v>0</v>
      </c>
      <c r="K234" s="50"/>
    </row>
    <row r="235" spans="3:11" x14ac:dyDescent="0.25">
      <c r="C235" s="3">
        <v>11</v>
      </c>
    </row>
    <row r="236" spans="3:11" x14ac:dyDescent="0.25">
      <c r="C236" s="3">
        <v>231776.75</v>
      </c>
    </row>
    <row r="237" spans="3:11" x14ac:dyDescent="0.25">
      <c r="C237" s="3">
        <v>32448.75</v>
      </c>
    </row>
    <row r="238" spans="3:11" x14ac:dyDescent="0.25">
      <c r="C238" s="3">
        <v>4635.54</v>
      </c>
    </row>
    <row r="239" spans="3:11" ht="19.5" customHeight="1" x14ac:dyDescent="0.25">
      <c r="K239" s="50"/>
    </row>
    <row r="240" spans="3:11" ht="16.5" customHeight="1" x14ac:dyDescent="0.25">
      <c r="K240" s="50"/>
    </row>
    <row r="241" spans="3:11" ht="18.75" customHeight="1" x14ac:dyDescent="0.25">
      <c r="C241" s="3">
        <v>147</v>
      </c>
      <c r="K241" s="50"/>
    </row>
    <row r="242" spans="3:11" x14ac:dyDescent="0.25">
      <c r="C242" s="3">
        <v>9221733.4000000004</v>
      </c>
      <c r="K242" s="50"/>
    </row>
    <row r="243" spans="3:11" ht="18.75" customHeight="1" x14ac:dyDescent="0.25">
      <c r="C243" s="3">
        <v>1291042.7</v>
      </c>
      <c r="K243" s="50"/>
    </row>
    <row r="244" spans="3:11" x14ac:dyDescent="0.25">
      <c r="C244" s="3">
        <v>184434.68999999997</v>
      </c>
      <c r="K244" s="50"/>
    </row>
    <row r="245" spans="3:11" ht="19.5" customHeight="1" x14ac:dyDescent="0.25">
      <c r="C245" s="3">
        <v>28</v>
      </c>
      <c r="K245" s="50"/>
    </row>
    <row r="246" spans="3:11" x14ac:dyDescent="0.25">
      <c r="C246" s="3">
        <v>0</v>
      </c>
      <c r="K246" s="50"/>
    </row>
    <row r="247" spans="3:11" ht="19.5" customHeight="1" x14ac:dyDescent="0.25">
      <c r="C247" s="3">
        <v>0</v>
      </c>
      <c r="K247" s="50"/>
    </row>
    <row r="248" spans="3:11" x14ac:dyDescent="0.25">
      <c r="C248" s="3">
        <v>0</v>
      </c>
      <c r="K248" s="50"/>
    </row>
    <row r="249" spans="3:11" ht="18.75" customHeight="1" x14ac:dyDescent="0.25">
      <c r="C249" s="3">
        <v>106</v>
      </c>
      <c r="K249" s="50"/>
    </row>
    <row r="250" spans="3:11" x14ac:dyDescent="0.25">
      <c r="C250" s="3">
        <v>8529480.5</v>
      </c>
      <c r="K250" s="50"/>
    </row>
    <row r="251" spans="3:11" ht="18.75" customHeight="1" x14ac:dyDescent="0.25">
      <c r="C251" s="3">
        <v>1194127.2899999998</v>
      </c>
      <c r="K251" s="50"/>
    </row>
    <row r="252" spans="3:11" x14ac:dyDescent="0.25">
      <c r="C252" s="3">
        <v>170589.62999999998</v>
      </c>
      <c r="K252" s="50"/>
    </row>
    <row r="253" spans="3:11" ht="19.5" customHeight="1" x14ac:dyDescent="0.25">
      <c r="C253" s="3">
        <v>0</v>
      </c>
      <c r="K253" s="50"/>
    </row>
    <row r="254" spans="3:11" x14ac:dyDescent="0.25">
      <c r="C254" s="3">
        <v>0</v>
      </c>
      <c r="K254" s="50"/>
    </row>
    <row r="255" spans="3:11" ht="18.75" customHeight="1" x14ac:dyDescent="0.25">
      <c r="C255" s="3">
        <v>0</v>
      </c>
      <c r="K255" s="50"/>
    </row>
    <row r="256" spans="3:11" x14ac:dyDescent="0.25">
      <c r="C256" s="3">
        <v>0</v>
      </c>
      <c r="K256" s="50"/>
    </row>
    <row r="257" spans="3:11" x14ac:dyDescent="0.25">
      <c r="C257" s="3">
        <v>0</v>
      </c>
      <c r="K257" s="50"/>
    </row>
    <row r="258" spans="3:11" x14ac:dyDescent="0.25">
      <c r="C258" s="3">
        <v>0</v>
      </c>
      <c r="K258" s="50"/>
    </row>
    <row r="259" spans="3:11" x14ac:dyDescent="0.25">
      <c r="C259" s="3">
        <v>0</v>
      </c>
      <c r="K259" s="50"/>
    </row>
    <row r="260" spans="3:11" x14ac:dyDescent="0.25">
      <c r="C260" s="3">
        <v>0</v>
      </c>
      <c r="K260" s="50"/>
    </row>
    <row r="261" spans="3:11" ht="18.75" customHeight="1" x14ac:dyDescent="0.25">
      <c r="C261" s="3">
        <v>13</v>
      </c>
      <c r="K261" s="50"/>
    </row>
    <row r="262" spans="3:11" x14ac:dyDescent="0.25">
      <c r="C262" s="3">
        <v>692252.9</v>
      </c>
      <c r="K262" s="50"/>
    </row>
    <row r="263" spans="3:11" ht="18" customHeight="1" x14ac:dyDescent="0.25">
      <c r="C263" s="3">
        <v>96915.41</v>
      </c>
      <c r="K263" s="50"/>
    </row>
    <row r="264" spans="3:11" x14ac:dyDescent="0.25">
      <c r="C264" s="3">
        <v>13845.060000000001</v>
      </c>
      <c r="K264" s="50"/>
    </row>
    <row r="265" spans="3:11" ht="18.75" customHeight="1" x14ac:dyDescent="0.25">
      <c r="K265" s="50"/>
    </row>
    <row r="266" spans="3:11" x14ac:dyDescent="0.25">
      <c r="K266" s="50"/>
    </row>
    <row r="267" spans="3:11" ht="19.5" customHeight="1" x14ac:dyDescent="0.25">
      <c r="C267" s="3">
        <v>49</v>
      </c>
      <c r="K267" s="50"/>
    </row>
    <row r="268" spans="3:11" x14ac:dyDescent="0.25">
      <c r="C268" s="3">
        <v>3417918.06</v>
      </c>
      <c r="K268" s="50"/>
    </row>
    <row r="269" spans="3:11" ht="19.5" customHeight="1" x14ac:dyDescent="0.25">
      <c r="C269" s="3">
        <v>478508.54</v>
      </c>
      <c r="K269" s="50"/>
    </row>
    <row r="270" spans="3:11" x14ac:dyDescent="0.25">
      <c r="C270" s="3">
        <v>68358.37</v>
      </c>
      <c r="K270" s="50"/>
    </row>
    <row r="271" spans="3:11" ht="18.75" customHeight="1" x14ac:dyDescent="0.25">
      <c r="C271" s="3">
        <v>0</v>
      </c>
      <c r="K271" s="50"/>
    </row>
    <row r="272" spans="3:11" x14ac:dyDescent="0.25">
      <c r="C272" s="3">
        <v>0</v>
      </c>
      <c r="K272" s="50"/>
    </row>
    <row r="273" spans="3:11" ht="18.75" customHeight="1" x14ac:dyDescent="0.25">
      <c r="C273" s="3">
        <v>0</v>
      </c>
      <c r="K273" s="50"/>
    </row>
    <row r="274" spans="3:11" x14ac:dyDescent="0.25">
      <c r="C274" s="3">
        <v>0</v>
      </c>
      <c r="F274" s="52"/>
      <c r="K274" s="50"/>
    </row>
    <row r="275" spans="3:11" ht="18.75" customHeight="1" x14ac:dyDescent="0.25">
      <c r="C275" s="3">
        <v>49</v>
      </c>
      <c r="K275" s="50"/>
    </row>
    <row r="276" spans="3:11" x14ac:dyDescent="0.25">
      <c r="C276" s="3">
        <v>3417918.06</v>
      </c>
      <c r="K276" s="50"/>
    </row>
    <row r="277" spans="3:11" ht="19.5" customHeight="1" x14ac:dyDescent="0.25">
      <c r="C277" s="3">
        <v>478508.54</v>
      </c>
      <c r="K277" s="50"/>
    </row>
    <row r="278" spans="3:11" x14ac:dyDescent="0.25">
      <c r="C278" s="3">
        <v>68358.37</v>
      </c>
      <c r="K278" s="50"/>
    </row>
    <row r="279" spans="3:11" x14ac:dyDescent="0.25">
      <c r="C279" s="3">
        <v>0</v>
      </c>
      <c r="K279" s="50"/>
    </row>
    <row r="280" spans="3:11" x14ac:dyDescent="0.25">
      <c r="C280" s="3">
        <v>0</v>
      </c>
      <c r="K280" s="50"/>
    </row>
    <row r="281" spans="3:11" x14ac:dyDescent="0.25">
      <c r="C281" s="3">
        <v>0</v>
      </c>
      <c r="K281" s="50"/>
    </row>
    <row r="282" spans="3:11" x14ac:dyDescent="0.25">
      <c r="C282" s="3">
        <v>0</v>
      </c>
      <c r="K282" s="50"/>
    </row>
    <row r="283" spans="3:11" ht="19.5" customHeight="1" x14ac:dyDescent="0.25">
      <c r="C283" s="3">
        <v>0</v>
      </c>
      <c r="K283" s="50"/>
    </row>
    <row r="284" spans="3:11" x14ac:dyDescent="0.25">
      <c r="C284" s="3">
        <v>0</v>
      </c>
      <c r="K284" s="50"/>
    </row>
    <row r="285" spans="3:11" ht="18.75" customHeight="1" x14ac:dyDescent="0.25">
      <c r="C285" s="3">
        <v>0</v>
      </c>
      <c r="K285" s="50"/>
    </row>
    <row r="286" spans="3:11" x14ac:dyDescent="0.25">
      <c r="C286" s="3">
        <v>0</v>
      </c>
      <c r="K286" s="50"/>
    </row>
    <row r="287" spans="3:11" x14ac:dyDescent="0.25">
      <c r="C287" s="3">
        <v>0</v>
      </c>
    </row>
    <row r="288" spans="3:11" x14ac:dyDescent="0.25">
      <c r="C288" s="3">
        <v>0</v>
      </c>
    </row>
    <row r="289" spans="3:11" x14ac:dyDescent="0.25">
      <c r="C289" s="3">
        <v>0</v>
      </c>
    </row>
    <row r="290" spans="3:11" x14ac:dyDescent="0.25">
      <c r="C290" s="3">
        <v>0</v>
      </c>
    </row>
    <row r="291" spans="3:11" ht="18.75" customHeight="1" x14ac:dyDescent="0.25">
      <c r="K291" s="50"/>
    </row>
    <row r="292" spans="3:11" x14ac:dyDescent="0.25">
      <c r="K292" s="50"/>
    </row>
    <row r="293" spans="3:11" ht="18.75" customHeight="1" x14ac:dyDescent="0.25">
      <c r="C293" s="3">
        <v>27</v>
      </c>
      <c r="D293" s="3" t="s">
        <v>44</v>
      </c>
      <c r="K293" s="50"/>
    </row>
    <row r="294" spans="3:11" x14ac:dyDescent="0.25">
      <c r="C294" s="3">
        <v>222047</v>
      </c>
      <c r="K294" s="50"/>
    </row>
    <row r="295" spans="3:11" ht="19.5" customHeight="1" x14ac:dyDescent="0.25">
      <c r="C295" s="3">
        <v>31086.58</v>
      </c>
      <c r="K295" s="50"/>
    </row>
    <row r="296" spans="3:11" x14ac:dyDescent="0.25">
      <c r="C296" s="3">
        <v>4440.9399999999996</v>
      </c>
      <c r="K296" s="50"/>
    </row>
    <row r="297" spans="3:11" ht="18.75" customHeight="1" x14ac:dyDescent="0.25">
      <c r="C297" s="3">
        <v>0</v>
      </c>
      <c r="K297" s="50"/>
    </row>
    <row r="298" spans="3:11" x14ac:dyDescent="0.25">
      <c r="C298" s="3">
        <v>0</v>
      </c>
      <c r="K298" s="50"/>
    </row>
    <row r="299" spans="3:11" ht="18.75" customHeight="1" x14ac:dyDescent="0.25">
      <c r="C299" s="3">
        <v>0</v>
      </c>
      <c r="K299" s="50"/>
    </row>
    <row r="300" spans="3:11" x14ac:dyDescent="0.25">
      <c r="C300" s="3">
        <v>0</v>
      </c>
      <c r="K300" s="50"/>
    </row>
    <row r="301" spans="3:11" ht="18.75" customHeight="1" x14ac:dyDescent="0.25">
      <c r="C301" s="3">
        <v>27</v>
      </c>
      <c r="K301" s="50"/>
    </row>
    <row r="302" spans="3:11" x14ac:dyDescent="0.25">
      <c r="C302" s="3">
        <v>222047</v>
      </c>
      <c r="K302" s="50"/>
    </row>
    <row r="303" spans="3:11" ht="19.5" customHeight="1" x14ac:dyDescent="0.25">
      <c r="C303" s="3">
        <v>31086.58</v>
      </c>
      <c r="K303" s="50"/>
    </row>
    <row r="304" spans="3:11" x14ac:dyDescent="0.25">
      <c r="C304" s="3">
        <v>4440.9399999999996</v>
      </c>
      <c r="K304" s="50"/>
    </row>
    <row r="305" spans="3:11" x14ac:dyDescent="0.25">
      <c r="C305" s="3">
        <v>0</v>
      </c>
      <c r="K305" s="50"/>
    </row>
    <row r="306" spans="3:11" x14ac:dyDescent="0.25">
      <c r="C306" s="3">
        <v>0</v>
      </c>
      <c r="K306" s="50"/>
    </row>
    <row r="307" spans="3:11" x14ac:dyDescent="0.25">
      <c r="C307" s="3">
        <v>0</v>
      </c>
      <c r="K307" s="50"/>
    </row>
    <row r="308" spans="3:11" x14ac:dyDescent="0.25">
      <c r="C308" s="3">
        <v>0</v>
      </c>
      <c r="K308" s="50"/>
    </row>
    <row r="309" spans="3:11" ht="19.5" customHeight="1" x14ac:dyDescent="0.25">
      <c r="C309" s="3">
        <v>0</v>
      </c>
      <c r="K309" s="50"/>
    </row>
    <row r="310" spans="3:11" x14ac:dyDescent="0.25">
      <c r="C310" s="3">
        <v>0</v>
      </c>
      <c r="K310" s="50"/>
    </row>
    <row r="311" spans="3:11" ht="18.75" customHeight="1" x14ac:dyDescent="0.25">
      <c r="C311" s="3">
        <v>0</v>
      </c>
      <c r="K311" s="50"/>
    </row>
    <row r="312" spans="3:11" x14ac:dyDescent="0.25">
      <c r="C312" s="3">
        <v>0</v>
      </c>
      <c r="K312" s="50"/>
    </row>
    <row r="313" spans="3:11" x14ac:dyDescent="0.25">
      <c r="C313" s="3">
        <v>0</v>
      </c>
    </row>
    <row r="314" spans="3:11" x14ac:dyDescent="0.25">
      <c r="C314" s="3">
        <v>0</v>
      </c>
    </row>
    <row r="315" spans="3:11" x14ac:dyDescent="0.25">
      <c r="C315" s="3">
        <v>0</v>
      </c>
    </row>
    <row r="316" spans="3:11" x14ac:dyDescent="0.25">
      <c r="C316" s="3">
        <v>0</v>
      </c>
    </row>
    <row r="317" spans="3:11" ht="19.5" customHeight="1" x14ac:dyDescent="0.25">
      <c r="K317" s="50"/>
    </row>
    <row r="318" spans="3:11" x14ac:dyDescent="0.25">
      <c r="K318" s="50"/>
    </row>
    <row r="319" spans="3:11" ht="18.75" customHeight="1" x14ac:dyDescent="0.25">
      <c r="C319" s="3">
        <v>1174.5999999999999</v>
      </c>
      <c r="K319" s="50"/>
    </row>
    <row r="320" spans="3:11" x14ac:dyDescent="0.25">
      <c r="C320" s="3">
        <v>65119397.160000004</v>
      </c>
      <c r="K320" s="50"/>
    </row>
    <row r="321" spans="3:11" ht="20.25" customHeight="1" x14ac:dyDescent="0.25">
      <c r="C321" s="3">
        <v>9179505.0199999996</v>
      </c>
      <c r="K321" s="50"/>
    </row>
    <row r="322" spans="3:11" x14ac:dyDescent="0.25">
      <c r="C322" s="3">
        <v>1302388.02</v>
      </c>
      <c r="K322" s="50"/>
    </row>
    <row r="323" spans="3:11" ht="18.75" customHeight="1" x14ac:dyDescent="0.25">
      <c r="C323" s="3">
        <v>185</v>
      </c>
      <c r="K323" s="50"/>
    </row>
    <row r="324" spans="3:11" ht="16.5" customHeight="1" x14ac:dyDescent="0.25">
      <c r="C324" s="3">
        <v>0</v>
      </c>
      <c r="K324" s="50"/>
    </row>
    <row r="325" spans="3:11" ht="18.75" customHeight="1" x14ac:dyDescent="0.25">
      <c r="C325" s="3">
        <v>0</v>
      </c>
      <c r="K325" s="50"/>
    </row>
    <row r="326" spans="3:11" x14ac:dyDescent="0.25">
      <c r="C326" s="3">
        <v>0</v>
      </c>
      <c r="K326" s="50"/>
    </row>
    <row r="327" spans="3:11" ht="21" customHeight="1" x14ac:dyDescent="0.25">
      <c r="C327" s="3">
        <v>895.6</v>
      </c>
      <c r="K327" s="50"/>
    </row>
    <row r="328" spans="3:11" x14ac:dyDescent="0.25">
      <c r="C328" s="3">
        <v>61996054.239999995</v>
      </c>
      <c r="K328" s="50"/>
    </row>
    <row r="329" spans="3:11" ht="18.75" customHeight="1" x14ac:dyDescent="0.25">
      <c r="C329" s="3">
        <v>8679447.6699999999</v>
      </c>
      <c r="K329" s="50"/>
    </row>
    <row r="330" spans="3:11" x14ac:dyDescent="0.25">
      <c r="C330" s="3">
        <v>1239921.1599999997</v>
      </c>
      <c r="K330" s="50"/>
    </row>
    <row r="331" spans="3:11" x14ac:dyDescent="0.25">
      <c r="C331" s="3">
        <v>0</v>
      </c>
      <c r="H331" s="50"/>
      <c r="I331" s="50"/>
      <c r="J331" s="50"/>
      <c r="K331" s="50"/>
    </row>
    <row r="332" spans="3:11" x14ac:dyDescent="0.25">
      <c r="C332" s="3">
        <v>0</v>
      </c>
      <c r="K332" s="50"/>
    </row>
    <row r="333" spans="3:11" x14ac:dyDescent="0.25">
      <c r="C333" s="3">
        <v>0</v>
      </c>
      <c r="K333" s="50"/>
    </row>
    <row r="334" spans="3:11" x14ac:dyDescent="0.25">
      <c r="C334" s="3">
        <v>0</v>
      </c>
      <c r="K334" s="50"/>
    </row>
    <row r="335" spans="3:11" x14ac:dyDescent="0.25">
      <c r="C335" s="3">
        <v>6</v>
      </c>
      <c r="K335" s="50"/>
    </row>
    <row r="336" spans="3:11" x14ac:dyDescent="0.25">
      <c r="C336" s="3">
        <v>184674.5</v>
      </c>
      <c r="K336" s="50"/>
    </row>
    <row r="337" spans="3:11" x14ac:dyDescent="0.25">
      <c r="C337" s="3">
        <v>88643.760000000009</v>
      </c>
      <c r="K337" s="50"/>
    </row>
    <row r="338" spans="3:11" x14ac:dyDescent="0.25">
      <c r="C338" s="3">
        <v>3693.49</v>
      </c>
      <c r="K338" s="50"/>
    </row>
    <row r="339" spans="3:11" x14ac:dyDescent="0.25">
      <c r="C339" s="3">
        <v>88</v>
      </c>
      <c r="K339" s="50"/>
    </row>
    <row r="340" spans="3:11" x14ac:dyDescent="0.25">
      <c r="C340" s="3">
        <v>2938668.4200000004</v>
      </c>
      <c r="K340" s="50"/>
    </row>
    <row r="341" spans="3:11" x14ac:dyDescent="0.25">
      <c r="C341" s="3">
        <v>411413.59</v>
      </c>
      <c r="K341" s="50"/>
    </row>
    <row r="342" spans="3:11" x14ac:dyDescent="0.25">
      <c r="C342" s="3">
        <v>58773.37</v>
      </c>
      <c r="K342" s="50"/>
    </row>
  </sheetData>
  <mergeCells count="5">
    <mergeCell ref="A7:F7"/>
    <mergeCell ref="A3:F3"/>
    <mergeCell ref="A4:F4"/>
    <mergeCell ref="A5:F5"/>
    <mergeCell ref="A6:F6"/>
  </mergeCells>
  <pageMargins left="0.38" right="0.25" top="0.5" bottom="0.49" header="0.5" footer="0.5"/>
  <pageSetup scale="4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FY 2020-21</vt:lpstr>
      <vt:lpstr>Footnotes</vt:lpstr>
      <vt:lpstr>Footnotes!Print_Area</vt:lpstr>
      <vt:lpstr>'FY 2020-21'!Print_Area</vt:lpstr>
      <vt:lpstr>'FY 2020-21'!Print_Titles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Hand, Kristin (PGCB)</dc:creator>
  <cp:lastModifiedBy>DeSantis, Angela (PGCB)</cp:lastModifiedBy>
  <cp:lastPrinted>2021-07-15T18:44:33Z</cp:lastPrinted>
  <dcterms:created xsi:type="dcterms:W3CDTF">2019-08-13T12:45:45Z</dcterms:created>
  <dcterms:modified xsi:type="dcterms:W3CDTF">2021-07-15T18:47:38Z</dcterms:modified>
</cp:coreProperties>
</file>