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gov.sharepoint.com/sites/PGCBFinancialManagement/Shared Documents/Gaming Revenue/Table Games Revenue Reports/Tax Returns/Website Report/"/>
    </mc:Choice>
  </mc:AlternateContent>
  <xr:revisionPtr revIDLastSave="0" documentId="8_{2BF69D54-3898-4C56-A62F-2544DE591155}" xr6:coauthVersionLast="47" xr6:coauthVersionMax="47" xr10:uidLastSave="{00000000-0000-0000-0000-000000000000}"/>
  <bookViews>
    <workbookView xWindow="28680" yWindow="1995" windowWidth="29040" windowHeight="15840" xr2:uid="{BE44E023-5E5B-467E-8EE4-EC8AFD094557}"/>
  </bookViews>
  <sheets>
    <sheet name="FY 2021-22" sheetId="1" r:id="rId1"/>
    <sheet name="Footnotes" sheetId="2" r:id="rId2"/>
  </sheets>
  <definedNames>
    <definedName name="_xlnm.Print_Area" localSheetId="1">Footnotes!$A$1:$F$7</definedName>
    <definedName name="_xlnm.Print_Area" localSheetId="0">'FY 2021-22'!$A$1:$O$473</definedName>
    <definedName name="_xlnm.Print_Titles" localSheetId="0">'FY 2021-22'!$A:$A,'FY 2021-22'!$1:$4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6" i="1" l="1"/>
  <c r="O445" i="1"/>
  <c r="O444" i="1"/>
  <c r="O442" i="1"/>
  <c r="O441" i="1"/>
  <c r="O440" i="1"/>
  <c r="O438" i="1"/>
  <c r="O437" i="1"/>
  <c r="O436" i="1"/>
  <c r="O434" i="1"/>
  <c r="O433" i="1"/>
  <c r="O432" i="1"/>
  <c r="O430" i="1"/>
  <c r="O429" i="1"/>
  <c r="O428" i="1"/>
  <c r="O426" i="1"/>
  <c r="O425" i="1"/>
  <c r="O424" i="1"/>
  <c r="O420" i="1"/>
  <c r="O414" i="1"/>
  <c r="O412" i="1"/>
  <c r="O406" i="1"/>
  <c r="O404" i="1"/>
  <c r="O419" i="1"/>
  <c r="O418" i="1"/>
  <c r="O416" i="1"/>
  <c r="O415" i="1"/>
  <c r="O411" i="1"/>
  <c r="O410" i="1"/>
  <c r="O408" i="1"/>
  <c r="O407" i="1"/>
  <c r="O403" i="1"/>
  <c r="O402" i="1"/>
  <c r="O400" i="1"/>
  <c r="O399" i="1"/>
  <c r="O398" i="1"/>
  <c r="O394" i="1" l="1"/>
  <c r="O393" i="1"/>
  <c r="O392" i="1"/>
  <c r="O390" i="1"/>
  <c r="O389" i="1"/>
  <c r="O388" i="1"/>
  <c r="O386" i="1"/>
  <c r="O385" i="1"/>
  <c r="O384" i="1"/>
  <c r="O382" i="1"/>
  <c r="O381" i="1"/>
  <c r="O380" i="1"/>
  <c r="O378" i="1"/>
  <c r="O377" i="1"/>
  <c r="O376" i="1"/>
  <c r="O374" i="1"/>
  <c r="O373" i="1"/>
  <c r="O372" i="1"/>
  <c r="O368" i="1" l="1"/>
  <c r="O367" i="1"/>
  <c r="O366" i="1"/>
  <c r="O364" i="1"/>
  <c r="O363" i="1"/>
  <c r="O362" i="1"/>
  <c r="O360" i="1"/>
  <c r="O359" i="1"/>
  <c r="O358" i="1"/>
  <c r="O356" i="1"/>
  <c r="O355" i="1"/>
  <c r="O354" i="1"/>
  <c r="O352" i="1"/>
  <c r="O351" i="1"/>
  <c r="O350" i="1"/>
  <c r="O348" i="1"/>
  <c r="O347" i="1"/>
  <c r="O346" i="1"/>
  <c r="O342" i="1" l="1"/>
  <c r="O341" i="1"/>
  <c r="O340" i="1"/>
  <c r="O338" i="1"/>
  <c r="O337" i="1"/>
  <c r="O336" i="1"/>
  <c r="O334" i="1"/>
  <c r="O333" i="1"/>
  <c r="O332" i="1"/>
  <c r="O330" i="1"/>
  <c r="O329" i="1"/>
  <c r="O328" i="1"/>
  <c r="O326" i="1"/>
  <c r="O325" i="1"/>
  <c r="O324" i="1"/>
  <c r="O322" i="1"/>
  <c r="O321" i="1"/>
  <c r="O320" i="1"/>
  <c r="O226" i="1" l="1"/>
  <c r="O473" i="1" l="1"/>
  <c r="O472" i="1"/>
  <c r="O471" i="1"/>
  <c r="O469" i="1"/>
  <c r="O468" i="1"/>
  <c r="O467" i="1"/>
  <c r="O465" i="1"/>
  <c r="O464" i="1"/>
  <c r="O463" i="1"/>
  <c r="O461" i="1"/>
  <c r="O460" i="1"/>
  <c r="O459" i="1"/>
  <c r="O457" i="1"/>
  <c r="O456" i="1"/>
  <c r="O455" i="1"/>
  <c r="O453" i="1"/>
  <c r="O452" i="1"/>
  <c r="O451" i="1"/>
  <c r="O316" i="1"/>
  <c r="O315" i="1"/>
  <c r="O314" i="1"/>
  <c r="O312" i="1"/>
  <c r="O311" i="1"/>
  <c r="O310" i="1"/>
  <c r="O308" i="1"/>
  <c r="O307" i="1"/>
  <c r="O306" i="1"/>
  <c r="O304" i="1"/>
  <c r="O303" i="1"/>
  <c r="O302" i="1"/>
  <c r="O300" i="1"/>
  <c r="O299" i="1"/>
  <c r="O298" i="1"/>
  <c r="O296" i="1"/>
  <c r="O295" i="1"/>
  <c r="O294" i="1"/>
  <c r="O290" i="1"/>
  <c r="O289" i="1"/>
  <c r="O288" i="1"/>
  <c r="O286" i="1"/>
  <c r="O285" i="1"/>
  <c r="O284" i="1"/>
  <c r="O282" i="1"/>
  <c r="O281" i="1"/>
  <c r="O280" i="1"/>
  <c r="O278" i="1"/>
  <c r="O277" i="1"/>
  <c r="O276" i="1"/>
  <c r="O274" i="1"/>
  <c r="O273" i="1"/>
  <c r="O272" i="1"/>
  <c r="O270" i="1"/>
  <c r="O269" i="1"/>
  <c r="O268" i="1"/>
  <c r="O264" i="1"/>
  <c r="O263" i="1"/>
  <c r="O262" i="1"/>
  <c r="O260" i="1"/>
  <c r="O259" i="1"/>
  <c r="O258" i="1"/>
  <c r="O256" i="1"/>
  <c r="O255" i="1"/>
  <c r="O254" i="1"/>
  <c r="O252" i="1"/>
  <c r="O251" i="1"/>
  <c r="O250" i="1"/>
  <c r="O248" i="1"/>
  <c r="O247" i="1"/>
  <c r="O246" i="1"/>
  <c r="O244" i="1"/>
  <c r="O243" i="1"/>
  <c r="O242" i="1"/>
  <c r="O238" i="1"/>
  <c r="O237" i="1"/>
  <c r="O236" i="1"/>
  <c r="O234" i="1"/>
  <c r="O233" i="1"/>
  <c r="O232" i="1"/>
  <c r="O230" i="1"/>
  <c r="O229" i="1"/>
  <c r="O228" i="1"/>
  <c r="O225" i="1"/>
  <c r="O224" i="1"/>
  <c r="O222" i="1"/>
  <c r="O221" i="1"/>
  <c r="O220" i="1"/>
  <c r="O218" i="1"/>
  <c r="O217" i="1"/>
  <c r="O216" i="1"/>
  <c r="O212" i="1"/>
  <c r="O211" i="1"/>
  <c r="O210" i="1"/>
  <c r="O208" i="1"/>
  <c r="O207" i="1"/>
  <c r="O206" i="1"/>
  <c r="O204" i="1"/>
  <c r="O203" i="1"/>
  <c r="O202" i="1"/>
  <c r="O200" i="1"/>
  <c r="O199" i="1"/>
  <c r="O198" i="1"/>
  <c r="O196" i="1"/>
  <c r="O195" i="1"/>
  <c r="O194" i="1"/>
  <c r="O192" i="1"/>
  <c r="O191" i="1"/>
  <c r="O190" i="1"/>
  <c r="O186" i="1"/>
  <c r="O185" i="1"/>
  <c r="O184" i="1"/>
  <c r="O182" i="1"/>
  <c r="O181" i="1"/>
  <c r="O180" i="1"/>
  <c r="O178" i="1"/>
  <c r="O177" i="1"/>
  <c r="O176" i="1"/>
  <c r="O174" i="1"/>
  <c r="O173" i="1"/>
  <c r="O172" i="1"/>
  <c r="O170" i="1"/>
  <c r="O169" i="1"/>
  <c r="O168" i="1"/>
  <c r="O166" i="1"/>
  <c r="O165" i="1"/>
  <c r="O164" i="1"/>
  <c r="O160" i="1"/>
  <c r="O159" i="1"/>
  <c r="O158" i="1"/>
  <c r="O156" i="1"/>
  <c r="O155" i="1"/>
  <c r="O154" i="1"/>
  <c r="O152" i="1"/>
  <c r="O151" i="1"/>
  <c r="O150" i="1"/>
  <c r="O148" i="1"/>
  <c r="O147" i="1"/>
  <c r="O146" i="1"/>
  <c r="O144" i="1"/>
  <c r="O143" i="1"/>
  <c r="O142" i="1"/>
  <c r="O140" i="1"/>
  <c r="O139" i="1"/>
  <c r="O138" i="1"/>
  <c r="O134" i="1"/>
  <c r="O133" i="1"/>
  <c r="O132" i="1"/>
  <c r="O130" i="1"/>
  <c r="O129" i="1"/>
  <c r="O128" i="1"/>
  <c r="O126" i="1"/>
  <c r="O125" i="1"/>
  <c r="O124" i="1"/>
  <c r="O122" i="1"/>
  <c r="O121" i="1"/>
  <c r="O120" i="1"/>
  <c r="O118" i="1"/>
  <c r="O117" i="1"/>
  <c r="O116" i="1"/>
  <c r="O114" i="1"/>
  <c r="O113" i="1"/>
  <c r="O112" i="1"/>
  <c r="O108" i="1"/>
  <c r="O107" i="1"/>
  <c r="O106" i="1"/>
  <c r="O104" i="1"/>
  <c r="O103" i="1"/>
  <c r="O102" i="1"/>
  <c r="O100" i="1"/>
  <c r="O99" i="1"/>
  <c r="O98" i="1"/>
  <c r="O96" i="1"/>
  <c r="O95" i="1"/>
  <c r="O94" i="1"/>
  <c r="O92" i="1"/>
  <c r="O91" i="1"/>
  <c r="O90" i="1"/>
  <c r="O88" i="1"/>
  <c r="O87" i="1"/>
  <c r="O86" i="1"/>
  <c r="O82" i="1"/>
  <c r="O81" i="1"/>
  <c r="O80" i="1"/>
  <c r="O78" i="1"/>
  <c r="O77" i="1"/>
  <c r="O76" i="1"/>
  <c r="O74" i="1"/>
  <c r="O73" i="1"/>
  <c r="O72" i="1"/>
  <c r="O70" i="1"/>
  <c r="O69" i="1"/>
  <c r="O68" i="1"/>
  <c r="O66" i="1"/>
  <c r="O65" i="1"/>
  <c r="O64" i="1"/>
  <c r="O62" i="1"/>
  <c r="O61" i="1"/>
  <c r="O60" i="1"/>
  <c r="O56" i="1"/>
  <c r="O55" i="1"/>
  <c r="O54" i="1"/>
  <c r="O52" i="1"/>
  <c r="O51" i="1"/>
  <c r="O50" i="1"/>
  <c r="O48" i="1"/>
  <c r="O47" i="1"/>
  <c r="O46" i="1"/>
  <c r="O44" i="1"/>
  <c r="O43" i="1"/>
  <c r="O42" i="1"/>
  <c r="O40" i="1"/>
  <c r="O39" i="1"/>
  <c r="O38" i="1"/>
  <c r="O36" i="1"/>
  <c r="O35" i="1"/>
  <c r="O34" i="1"/>
  <c r="O30" i="1"/>
  <c r="O29" i="1"/>
  <c r="O28" i="1"/>
  <c r="O26" i="1"/>
  <c r="O25" i="1"/>
  <c r="O24" i="1"/>
  <c r="O22" i="1"/>
  <c r="O21" i="1"/>
  <c r="O20" i="1"/>
  <c r="O18" i="1"/>
  <c r="O17" i="1"/>
  <c r="O16" i="1"/>
  <c r="O14" i="1"/>
  <c r="O13" i="1"/>
  <c r="O12" i="1"/>
  <c r="O10" i="1"/>
  <c r="O9" i="1"/>
  <c r="O8" i="1"/>
</calcChain>
</file>

<file path=xl/sharedStrings.xml><?xml version="1.0" encoding="utf-8"?>
<sst xmlns="http://schemas.openxmlformats.org/spreadsheetml/2006/main" count="476" uniqueCount="51">
  <si>
    <r>
      <t xml:space="preserve">                                                                                                 MONTHLY TABLE GAME REPORT </t>
    </r>
    <r>
      <rPr>
        <b/>
        <vertAlign val="superscript"/>
        <sz val="12"/>
        <rFont val="Calibri"/>
        <family val="2"/>
      </rPr>
      <t>1</t>
    </r>
  </si>
  <si>
    <r>
      <t xml:space="preserve">    MONTHLY TABLE GAME REPORT </t>
    </r>
    <r>
      <rPr>
        <b/>
        <vertAlign val="superscript"/>
        <sz val="12"/>
        <rFont val="Calibri"/>
        <family val="2"/>
      </rPr>
      <t>1</t>
    </r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</si>
  <si>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</si>
  <si>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</si>
  <si>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</si>
  <si>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</si>
  <si>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</si>
  <si>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</si>
  <si>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</si>
  <si>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</si>
  <si>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</si>
  <si>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</si>
  <si>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</si>
  <si>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</si>
  <si>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FY 2022/2023 Total</t>
  </si>
  <si>
    <t>MOHEGAN PENNSYLVANIA</t>
  </si>
  <si>
    <t>Total Table Games</t>
  </si>
  <si>
    <t>Gross Revenue</t>
  </si>
  <si>
    <r>
      <t xml:space="preserve">State Tax Due </t>
    </r>
    <r>
      <rPr>
        <vertAlign val="superscript"/>
        <sz val="12"/>
        <rFont val="Calibri"/>
        <family val="2"/>
      </rPr>
      <t>2</t>
    </r>
  </si>
  <si>
    <t>Local Share Assessment</t>
  </si>
  <si>
    <r>
      <t xml:space="preserve">Non-Banking Tables </t>
    </r>
    <r>
      <rPr>
        <b/>
        <vertAlign val="superscript"/>
        <sz val="12"/>
        <rFont val="Calibri"/>
        <family val="2"/>
      </rPr>
      <t>3</t>
    </r>
  </si>
  <si>
    <r>
      <t xml:space="preserve">Banking Tables </t>
    </r>
    <r>
      <rPr>
        <b/>
        <vertAlign val="superscript"/>
        <sz val="12"/>
        <rFont val="Calibri"/>
        <family val="2"/>
      </rPr>
      <t>4</t>
    </r>
  </si>
  <si>
    <r>
      <t xml:space="preserve">Electronic Tables </t>
    </r>
    <r>
      <rPr>
        <b/>
        <vertAlign val="superscript"/>
        <sz val="12"/>
        <rFont val="Calibri"/>
        <family val="2"/>
      </rPr>
      <t>5</t>
    </r>
  </si>
  <si>
    <t>Fully Automated Electronic Tables</t>
  </si>
  <si>
    <t>Hybrid Tables</t>
  </si>
  <si>
    <t>PARX</t>
  </si>
  <si>
    <t>HARRAH'S PHILADELPHIA</t>
  </si>
  <si>
    <t>PRESQUE ISLE</t>
  </si>
  <si>
    <t xml:space="preserve">HOLLYWOOD CASINO AT THE MEADOWS </t>
  </si>
  <si>
    <t>MOUNT AIRY</t>
  </si>
  <si>
    <t>PENN NATIONAL</t>
  </si>
  <si>
    <t xml:space="preserve">WIND CREEK BETHLEHEM </t>
  </si>
  <si>
    <t>THE RIVERS-PITTSBURGH</t>
  </si>
  <si>
    <t>THE RIVERS-PHILADELPHIA</t>
  </si>
  <si>
    <t>VALLEY FORGE</t>
  </si>
  <si>
    <t>NEMACOLIN</t>
  </si>
  <si>
    <t>LIVE PITTSBURGH</t>
  </si>
  <si>
    <t>LIVE CASINO PHILADELPHIA</t>
  </si>
  <si>
    <t xml:space="preserve">HOLLYWOOD CASINO YORK </t>
  </si>
  <si>
    <t>HOLLYWOOD CASINO MORGANTOWN</t>
  </si>
  <si>
    <t>PARX SHIPPENSBURG</t>
  </si>
  <si>
    <t>TOTAL</t>
  </si>
  <si>
    <t>FOOTNOTES:</t>
  </si>
  <si>
    <r>
      <t>1</t>
    </r>
    <r>
      <rPr>
        <i/>
        <sz val="16"/>
        <rFont val="Calibri"/>
        <family val="2"/>
      </rPr>
      <t xml:space="preserve"> Please note that the filing of amended returns can cause revisions in previously published statistics.</t>
    </r>
  </si>
  <si>
    <r>
      <t xml:space="preserve">2 </t>
    </r>
    <r>
      <rPr>
        <i/>
        <sz val="16"/>
        <rFont val="Calibri"/>
        <family val="2"/>
      </rPr>
      <t xml:space="preserve">The state tax on banking, non-baning and electronic gaming tables is 14% for the first two years following commencement of table games operations at each licensed facility.  After the initial two years, the tax rate drops to 12%.  The state tax on fully automated electronic table games is currently 48%.  Both rates decline 2% on the second anniversary of the introdution of table games at that partictular facility.  Effective August 1, 2016, 2% tax increase on all casinos' gross table games revenue.  This additional 2% tax is set to expire on August 1, 2021. </t>
    </r>
  </si>
  <si>
    <r>
      <t xml:space="preserve">3 </t>
    </r>
    <r>
      <rPr>
        <i/>
        <sz val="16"/>
        <rFont val="Calibri"/>
        <family val="2"/>
      </rPr>
      <t>Non-Banking table games are those in which a player competes against another player and the casino collects a rake.</t>
    </r>
  </si>
  <si>
    <r>
      <t>4</t>
    </r>
    <r>
      <rPr>
        <i/>
        <sz val="16"/>
        <rFont val="Calibri"/>
        <family val="2"/>
      </rPr>
      <t xml:space="preserve"> Banking table games are those in which a player competes against the casino rather than another player.</t>
    </r>
  </si>
  <si>
    <r>
      <t xml:space="preserve">5 </t>
    </r>
    <r>
      <rPr>
        <i/>
        <sz val="16"/>
        <rFont val="Calibri"/>
        <family val="2"/>
      </rPr>
      <t xml:space="preserve">Electronic gaming tables are defined by statute and generally include a mechanical, electrical or computerized contrivance, terminal, machine or other device which is available for play or operation by one or more players as a table game. </t>
    </r>
  </si>
  <si>
    <t>ok</t>
  </si>
  <si>
    <t>x</t>
  </si>
  <si>
    <t>WIND CREEK BETHLEHEM (FORMERLY 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</si>
</sst>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%"/>
    <numFmt numFmtId="167" formatCode="_(* #,##0_);_(* \(#,##0\);_(* &quot;-&quot;??_);_(@_)"/>
    <numFmt numFmtId="168" formatCode="0_);[Red]\(0\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2"/>
      <color indexed="10"/>
      <name val="Calibri"/>
      <family val="2"/>
    </font>
    <font>
      <b/>
      <sz val="12"/>
      <name val="Calibri"/>
      <family val="2"/>
    </font>
    <font>
      <b/>
      <vertAlign val="superscript"/>
      <sz val="12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  <font>
      <b/>
      <u/>
      <sz val="12"/>
      <color indexed="8"/>
      <name val="Calibri"/>
      <family val="2"/>
    </font>
    <font>
      <vertAlign val="superscript"/>
      <sz val="12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i/>
      <vertAlign val="superscript"/>
      <sz val="16"/>
      <name val="Calibri"/>
      <family val="2"/>
    </font>
    <font>
      <i/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/>
    <xf numFmtId="0" fontId="6" fillId="0" borderId="0" xfId="1" applyFont="1"/>
    <xf numFmtId="49" fontId="4" fillId="0" borderId="1" xfId="1" applyNumberFormat="1" applyFont="1" applyBorder="1" applyAlignment="1">
      <alignment horizontal="center"/>
    </xf>
    <xf numFmtId="0" fontId="4" fillId="0" borderId="1" xfId="1" applyFont="1" applyBorder="1"/>
    <xf numFmtId="0" fontId="7" fillId="0" borderId="0" xfId="1" applyFont="1"/>
    <xf numFmtId="49" fontId="2" fillId="0" borderId="0" xfId="1" applyNumberFormat="1" applyFont="1" applyAlignment="1">
      <alignment horizontal="center"/>
    </xf>
    <xf numFmtId="0" fontId="8" fillId="0" borderId="0" xfId="1" applyFont="1"/>
    <xf numFmtId="0" fontId="4" fillId="0" borderId="0" xfId="1" applyFont="1" applyAlignment="1">
      <alignment horizontal="left"/>
    </xf>
    <xf numFmtId="1" fontId="4" fillId="0" borderId="0" xfId="2" applyNumberFormat="1" applyFont="1" applyFill="1" applyAlignment="1"/>
    <xf numFmtId="1" fontId="4" fillId="0" borderId="0" xfId="2" applyNumberFormat="1" applyFont="1" applyFill="1" applyAlignment="1">
      <alignment horizontal="right"/>
    </xf>
    <xf numFmtId="1" fontId="4" fillId="0" borderId="0" xfId="2" applyNumberFormat="1" applyFont="1" applyAlignment="1"/>
    <xf numFmtId="0" fontId="4" fillId="0" borderId="0" xfId="1" applyFont="1"/>
    <xf numFmtId="0" fontId="2" fillId="0" borderId="0" xfId="1" applyFont="1" applyAlignment="1">
      <alignment horizontal="left" indent="1"/>
    </xf>
    <xf numFmtId="164" fontId="2" fillId="0" borderId="0" xfId="2" applyNumberFormat="1" applyFont="1" applyFill="1" applyAlignment="1"/>
    <xf numFmtId="164" fontId="2" fillId="0" borderId="0" xfId="2" applyNumberFormat="1" applyFont="1" applyFill="1" applyAlignment="1">
      <alignment horizontal="right"/>
    </xf>
    <xf numFmtId="165" fontId="2" fillId="0" borderId="0" xfId="2" applyNumberFormat="1" applyFont="1" applyAlignment="1"/>
    <xf numFmtId="164" fontId="2" fillId="0" borderId="0" xfId="1" applyNumberFormat="1" applyFont="1"/>
    <xf numFmtId="166" fontId="2" fillId="0" borderId="0" xfId="2" applyNumberFormat="1" applyFont="1" applyAlignment="1"/>
    <xf numFmtId="8" fontId="2" fillId="0" borderId="0" xfId="1" applyNumberFormat="1" applyFont="1"/>
    <xf numFmtId="166" fontId="2" fillId="0" borderId="0" xfId="2" applyNumberFormat="1" applyFont="1" applyAlignment="1">
      <alignment horizontal="right"/>
    </xf>
    <xf numFmtId="165" fontId="4" fillId="0" borderId="0" xfId="2" applyNumberFormat="1" applyFont="1" applyAlignment="1"/>
    <xf numFmtId="0" fontId="4" fillId="0" borderId="0" xfId="3" applyFont="1" applyAlignment="1">
      <alignment horizontal="left"/>
    </xf>
    <xf numFmtId="0" fontId="2" fillId="0" borderId="0" xfId="3" applyFont="1" applyAlignment="1">
      <alignment horizontal="left" indent="1"/>
    </xf>
    <xf numFmtId="164" fontId="6" fillId="0" borderId="0" xfId="1" applyNumberFormat="1" applyFont="1"/>
    <xf numFmtId="164" fontId="6" fillId="0" borderId="0" xfId="1" applyNumberFormat="1" applyFont="1" applyAlignment="1">
      <alignment horizontal="right"/>
    </xf>
    <xf numFmtId="1" fontId="2" fillId="0" borderId="0" xfId="2" applyNumberFormat="1" applyFont="1" applyAlignment="1"/>
    <xf numFmtId="8" fontId="2" fillId="0" borderId="0" xfId="1" applyNumberFormat="1" applyFont="1" applyAlignment="1">
      <alignment horizontal="right"/>
    </xf>
    <xf numFmtId="6" fontId="2" fillId="0" borderId="0" xfId="2" applyNumberFormat="1" applyFont="1" applyFill="1" applyAlignment="1"/>
    <xf numFmtId="37" fontId="2" fillId="0" borderId="0" xfId="4" applyNumberFormat="1" applyFont="1" applyAlignment="1">
      <alignment horizontal="right"/>
    </xf>
    <xf numFmtId="43" fontId="2" fillId="0" borderId="0" xfId="5" applyFont="1" applyFill="1" applyAlignment="1"/>
    <xf numFmtId="167" fontId="4" fillId="0" borderId="0" xfId="5" applyNumberFormat="1" applyFont="1" applyFill="1" applyAlignment="1"/>
    <xf numFmtId="3" fontId="4" fillId="0" borderId="0" xfId="2" applyNumberFormat="1" applyFont="1" applyFill="1" applyAlignment="1"/>
    <xf numFmtId="167" fontId="4" fillId="0" borderId="0" xfId="5" applyNumberFormat="1" applyFont="1" applyFill="1" applyAlignment="1">
      <alignment horizontal="right"/>
    </xf>
    <xf numFmtId="164" fontId="2" fillId="0" borderId="0" xfId="2" applyNumberFormat="1" applyFont="1" applyFill="1"/>
    <xf numFmtId="1" fontId="4" fillId="0" borderId="0" xfId="2" applyNumberFormat="1" applyFont="1" applyFill="1"/>
    <xf numFmtId="1" fontId="2" fillId="0" borderId="0" xfId="1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2" fillId="0" borderId="0" xfId="1" applyFont="1" applyAlignment="1">
      <alignment horizontal="right"/>
    </xf>
    <xf numFmtId="166" fontId="2" fillId="0" borderId="0" xfId="2" applyNumberFormat="1" applyFont="1"/>
    <xf numFmtId="0" fontId="11" fillId="0" borderId="0" xfId="1" applyFont="1" applyAlignment="1">
      <alignment vertical="center" wrapText="1"/>
    </xf>
    <xf numFmtId="38" fontId="4" fillId="0" borderId="0" xfId="2" applyNumberFormat="1" applyFont="1" applyFill="1" applyAlignment="1"/>
    <xf numFmtId="6" fontId="2" fillId="0" borderId="0" xfId="5" applyNumberFormat="1" applyFont="1" applyFill="1" applyAlignment="1"/>
    <xf numFmtId="8" fontId="2" fillId="0" borderId="0" xfId="5" applyNumberFormat="1" applyFont="1" applyFill="1" applyAlignment="1"/>
    <xf numFmtId="168" fontId="4" fillId="0" borderId="0" xfId="2" applyNumberFormat="1" applyFont="1" applyFill="1" applyAlignment="1"/>
    <xf numFmtId="0" fontId="4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0" borderId="0" xfId="1" applyFont="1" applyAlignment="1">
      <alignment horizontal="left" wrapText="1"/>
    </xf>
    <xf numFmtId="0" fontId="11" fillId="0" borderId="0" xfId="1" applyFont="1" applyAlignment="1">
      <alignment wrapText="1"/>
    </xf>
  </cellXfs>
  <cellStyles count="6">
    <cellStyle name="Comma 2" xfId="5" xr:uid="{857B1BDC-B283-4089-B857-4EC14EC38904}"/>
    <cellStyle name="Currency 2" xfId="4" xr:uid="{EB852B52-D7B9-4079-9809-0D8BDC50E4DA}"/>
    <cellStyle name="Normal" xfId="0" builtinId="0"/>
    <cellStyle name="Normal 2" xfId="1" xr:uid="{8C87ACB9-6D2B-4A6B-AE9B-541913C3843B}"/>
    <cellStyle name="Normal 2 2" xfId="3" xr:uid="{4226E790-7201-409E-9F93-7FAA08A09B8D}"/>
    <cellStyle name="Percent 2" xfId="2" xr:uid="{ECC1778C-55A3-4C26-AA9C-535208673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142875</xdr:rowOff>
    </xdr:from>
    <xdr:to>
      <xdr:col>5</xdr:col>
      <xdr:colOff>1181099</xdr:colOff>
      <xdr:row>2</xdr:row>
      <xdr:rowOff>0</xdr:rowOff>
    </xdr:to>
    <xdr:pic>
      <xdr:nvPicPr>
        <xdr:cNvPr id="2" name="Picture 1" descr="LetterHead_Color-no-info">
          <a:extLst>
            <a:ext uri="{FF2B5EF4-FFF2-40B4-BE49-F238E27FC236}">
              <a16:creationId xmlns:a16="http://schemas.microsoft.com/office/drawing/2014/main" id="{6BED7B86-3B01-4D5D-A760-F9AD9B106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2875"/>
          <a:ext cx="4857749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0</xdr:row>
      <xdr:rowOff>142875</xdr:rowOff>
    </xdr:from>
    <xdr:to>
      <xdr:col>12</xdr:col>
      <xdr:colOff>129540</xdr:colOff>
      <xdr:row>1</xdr:row>
      <xdr:rowOff>207645</xdr:rowOff>
    </xdr:to>
    <xdr:pic>
      <xdr:nvPicPr>
        <xdr:cNvPr id="3" name="Picture 2" descr="LetterHead_Color-no-info">
          <a:extLst>
            <a:ext uri="{FF2B5EF4-FFF2-40B4-BE49-F238E27FC236}">
              <a16:creationId xmlns:a16="http://schemas.microsoft.com/office/drawing/2014/main" id="{87A59196-0916-492C-BEA8-3A8FD767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375" y="142875"/>
          <a:ext cx="513397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E30-0243-4321-91E0-C477EC3C309E}">
  <dimension ref="A1:P575"/>
  <sheetViews>
    <sheetView tabSelected="1" zoomScaleNormal="100" zoomScaleSheetLayoutView="75" workbookViewId="0">
      <pane xSplit="1" topLeftCell="E1" activePane="topRight" state="frozen"/>
      <selection pane="topRight" activeCell="N427" sqref="N427"/>
    </sheetView>
  </sheetViews>
  <sheetFormatPr defaultColWidth="9.140625" defaultRowHeight="15.75"/>
  <cols>
    <col min="1" max="1" width="46.5703125" style="3" bestFit="1" customWidth="1"/>
    <col min="2" max="8" width="20.7109375" style="3" customWidth="1"/>
    <col min="9" max="9" width="20.7109375" style="4" customWidth="1"/>
    <col min="10" max="13" width="20.7109375" style="3" customWidth="1"/>
    <col min="14" max="14" width="2.85546875" style="3" customWidth="1"/>
    <col min="15" max="15" width="20.7109375" style="3" customWidth="1"/>
    <col min="16" max="16" width="15.140625" style="3" customWidth="1"/>
    <col min="17" max="16384" width="9.140625" style="3"/>
  </cols>
  <sheetData>
    <row r="1" spans="1:16" ht="58.5" customHeight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</row>
    <row r="2" spans="1:16" ht="18.75" customHeight="1"/>
    <row r="3" spans="1:16" ht="31.5" customHeight="1">
      <c r="A3" s="50" t="s">
        <v>0</v>
      </c>
      <c r="B3" s="50"/>
      <c r="C3" s="50"/>
      <c r="D3" s="50"/>
      <c r="E3" s="50"/>
      <c r="F3" s="50"/>
      <c r="G3" s="50"/>
      <c r="H3" s="50" t="s">
        <v>1</v>
      </c>
      <c r="I3" s="50"/>
      <c r="J3" s="50"/>
      <c r="K3" s="50"/>
      <c r="L3" s="50"/>
      <c r="M3" s="50"/>
      <c r="N3" s="50"/>
    </row>
    <row r="4" spans="1:16" s="7" customFormat="1" ht="23.25" customHeight="1">
      <c r="A4" s="5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/>
      <c r="O4" s="6" t="s">
        <v>14</v>
      </c>
    </row>
    <row r="5" spans="1:16" ht="16.5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6" ht="15.75" customHeight="1">
      <c r="A6" s="10" t="s">
        <v>15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" s="15" customFormat="1" ht="15.75" customHeight="1">
      <c r="A7" s="11" t="s">
        <v>16</v>
      </c>
      <c r="B7" s="12">
        <v>65</v>
      </c>
      <c r="C7" s="34">
        <v>65</v>
      </c>
      <c r="D7" s="12">
        <v>65</v>
      </c>
      <c r="E7" s="12">
        <v>62.6</v>
      </c>
      <c r="F7" s="12">
        <v>62</v>
      </c>
      <c r="G7" s="12">
        <v>61.6</v>
      </c>
      <c r="H7" s="12">
        <v>61</v>
      </c>
      <c r="I7" s="12">
        <v>61.8</v>
      </c>
      <c r="J7" s="12">
        <v>63</v>
      </c>
      <c r="K7" s="13">
        <v>63</v>
      </c>
      <c r="L7" s="12">
        <v>64</v>
      </c>
      <c r="M7" s="12">
        <v>68</v>
      </c>
      <c r="N7" s="14"/>
      <c r="O7" s="12"/>
    </row>
    <row r="8" spans="1:16" ht="15.75" customHeight="1">
      <c r="A8" s="16" t="s">
        <v>17</v>
      </c>
      <c r="B8" s="17">
        <v>2818880.2399999998</v>
      </c>
      <c r="C8" s="17">
        <v>2178354.15</v>
      </c>
      <c r="D8" s="17">
        <v>2087081.08</v>
      </c>
      <c r="E8" s="17">
        <v>2270699.4799999995</v>
      </c>
      <c r="F8" s="17">
        <v>2618738.3199999998</v>
      </c>
      <c r="G8" s="17">
        <v>1857495.58</v>
      </c>
      <c r="H8" s="17">
        <v>2362661.6500000004</v>
      </c>
      <c r="I8" s="17">
        <v>2306321.6999999997</v>
      </c>
      <c r="J8" s="17">
        <v>2702822.5999999996</v>
      </c>
      <c r="K8" s="18">
        <v>2550254.4600000004</v>
      </c>
      <c r="L8" s="17">
        <v>2771988.7</v>
      </c>
      <c r="M8" s="17">
        <v>2609113.79</v>
      </c>
      <c r="N8" s="19"/>
      <c r="O8" s="17">
        <f>SUM(B8:M8)</f>
        <v>29134411.749999996</v>
      </c>
      <c r="P8" s="20"/>
    </row>
    <row r="9" spans="1:16" ht="15.75" customHeight="1">
      <c r="A9" s="16" t="s">
        <v>18</v>
      </c>
      <c r="B9" s="17">
        <v>394643.24</v>
      </c>
      <c r="C9" s="17">
        <v>304969.58999999997</v>
      </c>
      <c r="D9" s="17">
        <v>292191.35999999999</v>
      </c>
      <c r="E9" s="17">
        <v>317897.94</v>
      </c>
      <c r="F9" s="17">
        <v>366623.38</v>
      </c>
      <c r="G9" s="17">
        <v>260049.38</v>
      </c>
      <c r="H9" s="17">
        <v>330772.63</v>
      </c>
      <c r="I9" s="17">
        <v>322885.04000000004</v>
      </c>
      <c r="J9" s="17">
        <v>378395.17</v>
      </c>
      <c r="K9" s="18">
        <v>357035.63</v>
      </c>
      <c r="L9" s="17">
        <v>388078.42</v>
      </c>
      <c r="M9" s="17">
        <v>365275.94</v>
      </c>
      <c r="N9" s="21"/>
      <c r="O9" s="17">
        <f>SUM(B9:M9)</f>
        <v>4078817.7199999993</v>
      </c>
      <c r="P9" s="20"/>
    </row>
    <row r="10" spans="1:16" ht="15.75" customHeight="1">
      <c r="A10" s="16" t="s">
        <v>19</v>
      </c>
      <c r="B10" s="17">
        <v>56377.61</v>
      </c>
      <c r="C10" s="17">
        <v>43567.1</v>
      </c>
      <c r="D10" s="17">
        <v>41741.629999999997</v>
      </c>
      <c r="E10" s="17">
        <v>45414</v>
      </c>
      <c r="F10" s="17">
        <v>52374.76</v>
      </c>
      <c r="G10" s="17">
        <v>37149.909999999996</v>
      </c>
      <c r="H10" s="17">
        <v>47253.229999999996</v>
      </c>
      <c r="I10" s="17">
        <v>46126.43</v>
      </c>
      <c r="J10" s="17">
        <v>54056.439999999995</v>
      </c>
      <c r="K10" s="18">
        <v>51005.09</v>
      </c>
      <c r="L10" s="17">
        <v>55439.78</v>
      </c>
      <c r="M10" s="17">
        <v>52182.270000000004</v>
      </c>
      <c r="N10" s="21"/>
      <c r="O10" s="17">
        <f>SUM(B10:M10)</f>
        <v>582688.25</v>
      </c>
      <c r="P10" s="20"/>
    </row>
    <row r="11" spans="1:16" s="15" customFormat="1" ht="15.75" customHeight="1">
      <c r="A11" s="11" t="s">
        <v>20</v>
      </c>
      <c r="B11" s="12">
        <v>9</v>
      </c>
      <c r="C11" s="12">
        <v>9</v>
      </c>
      <c r="D11" s="12">
        <v>9</v>
      </c>
      <c r="E11" s="12">
        <v>9</v>
      </c>
      <c r="F11" s="12">
        <v>9</v>
      </c>
      <c r="G11" s="12">
        <v>9</v>
      </c>
      <c r="H11" s="12">
        <v>9</v>
      </c>
      <c r="I11" s="12">
        <v>9</v>
      </c>
      <c r="J11" s="12">
        <v>9</v>
      </c>
      <c r="K11" s="13">
        <v>9</v>
      </c>
      <c r="L11" s="12">
        <v>9</v>
      </c>
      <c r="M11" s="12">
        <v>9</v>
      </c>
      <c r="N11" s="5"/>
      <c r="O11" s="12"/>
      <c r="P11" s="20"/>
    </row>
    <row r="12" spans="1:16" ht="15.75" customHeight="1">
      <c r="A12" s="16" t="s">
        <v>17</v>
      </c>
      <c r="B12" s="17">
        <v>163043</v>
      </c>
      <c r="C12" s="17">
        <v>145101</v>
      </c>
      <c r="D12" s="17">
        <v>142297</v>
      </c>
      <c r="E12" s="17">
        <v>137839</v>
      </c>
      <c r="F12" s="17">
        <v>138290</v>
      </c>
      <c r="G12" s="17">
        <v>132767</v>
      </c>
      <c r="H12" s="17">
        <v>156491</v>
      </c>
      <c r="I12" s="17">
        <v>159184</v>
      </c>
      <c r="J12" s="17">
        <v>168167</v>
      </c>
      <c r="K12" s="18">
        <v>145736</v>
      </c>
      <c r="L12" s="17">
        <v>137608</v>
      </c>
      <c r="M12" s="17">
        <v>149073</v>
      </c>
      <c r="N12" s="22"/>
      <c r="O12" s="17">
        <f>SUM(B12:M12)</f>
        <v>1775596</v>
      </c>
      <c r="P12" s="20"/>
    </row>
    <row r="13" spans="1:16" s="15" customFormat="1" ht="15.75" customHeight="1">
      <c r="A13" s="16" t="s">
        <v>18</v>
      </c>
      <c r="B13" s="17">
        <v>22826.019999999997</v>
      </c>
      <c r="C13" s="17">
        <v>20314.14</v>
      </c>
      <c r="D13" s="17">
        <v>19921.579999999998</v>
      </c>
      <c r="E13" s="17">
        <v>19297.46</v>
      </c>
      <c r="F13" s="17">
        <v>19360.599999999999</v>
      </c>
      <c r="G13" s="17">
        <v>18587.38</v>
      </c>
      <c r="H13" s="17">
        <v>21908.74</v>
      </c>
      <c r="I13" s="17">
        <v>22285.759999999998</v>
      </c>
      <c r="J13" s="17">
        <v>23543.38</v>
      </c>
      <c r="K13" s="18">
        <v>20403.04</v>
      </c>
      <c r="L13" s="17">
        <v>19265.12</v>
      </c>
      <c r="M13" s="17">
        <v>20870.22</v>
      </c>
      <c r="N13" s="5"/>
      <c r="O13" s="17">
        <f>SUM(B13:M13)</f>
        <v>248583.44</v>
      </c>
      <c r="P13" s="20"/>
    </row>
    <row r="14" spans="1:16" ht="15.75" customHeight="1">
      <c r="A14" s="16" t="s">
        <v>19</v>
      </c>
      <c r="B14" s="17">
        <v>3260.86</v>
      </c>
      <c r="C14" s="17">
        <v>2902.02</v>
      </c>
      <c r="D14" s="17">
        <v>2845.9399999999996</v>
      </c>
      <c r="E14" s="17">
        <v>2756.7799999999997</v>
      </c>
      <c r="F14" s="17">
        <v>2765.7999999999997</v>
      </c>
      <c r="G14" s="17">
        <v>2655.34</v>
      </c>
      <c r="H14" s="17">
        <v>3129.8199999999997</v>
      </c>
      <c r="I14" s="17">
        <v>3183.6800000000003</v>
      </c>
      <c r="J14" s="17">
        <v>3363.3399999999997</v>
      </c>
      <c r="K14" s="18">
        <v>2914.7200000000003</v>
      </c>
      <c r="L14" s="17">
        <v>2752.16</v>
      </c>
      <c r="M14" s="17">
        <v>2981.46</v>
      </c>
      <c r="N14" s="22"/>
      <c r="O14" s="17">
        <f>SUM(B14:M14)</f>
        <v>35511.919999999998</v>
      </c>
      <c r="P14" s="20"/>
    </row>
    <row r="15" spans="1:16" s="15" customFormat="1" ht="15.75" customHeight="1">
      <c r="A15" s="11" t="s">
        <v>21</v>
      </c>
      <c r="B15" s="12">
        <v>52</v>
      </c>
      <c r="C15" s="12">
        <v>52</v>
      </c>
      <c r="D15" s="12">
        <v>52</v>
      </c>
      <c r="E15" s="12">
        <v>49.5</v>
      </c>
      <c r="F15" s="12">
        <v>49</v>
      </c>
      <c r="G15" s="12">
        <v>48.6</v>
      </c>
      <c r="H15" s="12">
        <v>48</v>
      </c>
      <c r="I15" s="12">
        <v>48</v>
      </c>
      <c r="J15" s="12">
        <v>48</v>
      </c>
      <c r="K15" s="13">
        <v>48</v>
      </c>
      <c r="L15" s="12">
        <v>49</v>
      </c>
      <c r="M15" s="12">
        <v>53</v>
      </c>
      <c r="N15" s="5"/>
      <c r="O15" s="12"/>
      <c r="P15" s="20"/>
    </row>
    <row r="16" spans="1:16" ht="15.75" customHeight="1">
      <c r="A16" s="16" t="s">
        <v>17</v>
      </c>
      <c r="B16" s="17">
        <v>2325587.25</v>
      </c>
      <c r="C16" s="17">
        <v>1721014.25</v>
      </c>
      <c r="D16" s="17">
        <v>1733593.01</v>
      </c>
      <c r="E16" s="17">
        <v>1884759.76</v>
      </c>
      <c r="F16" s="17">
        <v>2196808.25</v>
      </c>
      <c r="G16" s="17">
        <v>1674393.77</v>
      </c>
      <c r="H16" s="17">
        <v>2006356.25</v>
      </c>
      <c r="I16" s="17">
        <v>1934461.5</v>
      </c>
      <c r="J16" s="17">
        <v>2324143.56</v>
      </c>
      <c r="K16" s="18">
        <v>2205341.0499999998</v>
      </c>
      <c r="L16" s="17">
        <v>2472983</v>
      </c>
      <c r="M16" s="17">
        <v>2246555</v>
      </c>
      <c r="N16" s="23"/>
      <c r="O16" s="17">
        <f t="shared" ref="O16:O26" si="0">SUM(B16:M16)</f>
        <v>24725996.649999999</v>
      </c>
      <c r="P16" s="20"/>
    </row>
    <row r="17" spans="1:16" s="15" customFormat="1" ht="15.75" customHeight="1">
      <c r="A17" s="16" t="s">
        <v>18</v>
      </c>
      <c r="B17" s="17">
        <v>325582.21999999997</v>
      </c>
      <c r="C17" s="17">
        <v>240942</v>
      </c>
      <c r="D17" s="17">
        <v>242703.01999999996</v>
      </c>
      <c r="E17" s="17">
        <v>263866.37</v>
      </c>
      <c r="F17" s="17">
        <v>307553.16000000003</v>
      </c>
      <c r="G17" s="17">
        <v>234415.13</v>
      </c>
      <c r="H17" s="17">
        <v>280889.88</v>
      </c>
      <c r="I17" s="17">
        <v>270824.61000000004</v>
      </c>
      <c r="J17" s="17">
        <v>325380.09999999998</v>
      </c>
      <c r="K17" s="18">
        <v>308747.75</v>
      </c>
      <c r="L17" s="17">
        <v>346217.62000000005</v>
      </c>
      <c r="M17" s="17">
        <v>314517.69999999995</v>
      </c>
      <c r="N17" s="5"/>
      <c r="O17" s="17">
        <f t="shared" si="0"/>
        <v>3461639.5599999996</v>
      </c>
      <c r="P17" s="20"/>
    </row>
    <row r="18" spans="1:16" ht="15.75" customHeight="1">
      <c r="A18" s="16" t="s">
        <v>19</v>
      </c>
      <c r="B18" s="17">
        <v>46511.75</v>
      </c>
      <c r="C18" s="17">
        <v>34420.29</v>
      </c>
      <c r="D18" s="17">
        <v>34671.86</v>
      </c>
      <c r="E18" s="17">
        <v>37695.199999999997</v>
      </c>
      <c r="F18" s="17">
        <v>43936.170000000006</v>
      </c>
      <c r="G18" s="17">
        <v>33487.879999999997</v>
      </c>
      <c r="H18" s="17">
        <v>40127.129999999997</v>
      </c>
      <c r="I18" s="17">
        <v>38689.229999999996</v>
      </c>
      <c r="J18" s="17">
        <v>46482.87</v>
      </c>
      <c r="K18" s="18">
        <v>44106.82</v>
      </c>
      <c r="L18" s="17">
        <v>49459.659999999996</v>
      </c>
      <c r="M18" s="17">
        <v>44931.1</v>
      </c>
      <c r="N18" s="21"/>
      <c r="O18" s="17">
        <f t="shared" si="0"/>
        <v>494519.95999999996</v>
      </c>
      <c r="P18" s="20"/>
    </row>
    <row r="19" spans="1:16" ht="15.75" customHeight="1">
      <c r="A19" s="11" t="s">
        <v>22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0</v>
      </c>
      <c r="L19" s="13">
        <v>0</v>
      </c>
      <c r="M19" s="12">
        <v>0</v>
      </c>
      <c r="N19" s="5"/>
      <c r="O19" s="12"/>
      <c r="P19" s="20"/>
    </row>
    <row r="20" spans="1:16" ht="15.75" customHeight="1">
      <c r="A20" s="16" t="s">
        <v>17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8">
        <v>0</v>
      </c>
      <c r="L20" s="17">
        <v>0</v>
      </c>
      <c r="M20" s="17">
        <v>0</v>
      </c>
      <c r="N20" s="5"/>
      <c r="O20" s="17">
        <f t="shared" si="0"/>
        <v>0</v>
      </c>
      <c r="P20" s="20"/>
    </row>
    <row r="21" spans="1:16" s="15" customFormat="1" ht="15.75" customHeight="1">
      <c r="A21" s="16" t="s">
        <v>18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8">
        <v>0</v>
      </c>
      <c r="L21" s="17">
        <v>0</v>
      </c>
      <c r="M21" s="17">
        <v>0</v>
      </c>
      <c r="N21" s="14"/>
      <c r="O21" s="17">
        <f t="shared" si="0"/>
        <v>0</v>
      </c>
      <c r="P21" s="20"/>
    </row>
    <row r="22" spans="1:16" s="15" customFormat="1" ht="15.75" customHeight="1">
      <c r="A22" s="16" t="s">
        <v>19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8">
        <v>0</v>
      </c>
      <c r="L22" s="17">
        <v>0</v>
      </c>
      <c r="M22" s="17">
        <v>0</v>
      </c>
      <c r="N22" s="24"/>
      <c r="O22" s="17">
        <f t="shared" si="0"/>
        <v>0</v>
      </c>
      <c r="P22" s="20"/>
    </row>
    <row r="23" spans="1:16" ht="15.75" customHeight="1">
      <c r="A23" s="11" t="s">
        <v>23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0</v>
      </c>
      <c r="L23" s="13">
        <v>0</v>
      </c>
      <c r="M23" s="12">
        <v>0</v>
      </c>
      <c r="N23" s="21"/>
      <c r="O23" s="12"/>
      <c r="P23" s="20"/>
    </row>
    <row r="24" spans="1:16" ht="15.75" customHeight="1">
      <c r="A24" s="16" t="s">
        <v>17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8">
        <v>0</v>
      </c>
      <c r="L24" s="17">
        <v>0</v>
      </c>
      <c r="M24" s="17">
        <v>0</v>
      </c>
      <c r="N24" s="21"/>
      <c r="O24" s="17">
        <f t="shared" si="0"/>
        <v>0</v>
      </c>
      <c r="P24" s="20"/>
    </row>
    <row r="25" spans="1:16" ht="15.75" customHeight="1">
      <c r="A25" s="16" t="s">
        <v>18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8">
        <v>0</v>
      </c>
      <c r="L25" s="17">
        <v>0</v>
      </c>
      <c r="M25" s="17">
        <v>0</v>
      </c>
      <c r="N25" s="5"/>
      <c r="O25" s="17">
        <f t="shared" si="0"/>
        <v>0</v>
      </c>
      <c r="P25" s="20"/>
    </row>
    <row r="26" spans="1:16" ht="15.75" customHeight="1">
      <c r="A26" s="16" t="s">
        <v>19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8">
        <v>0</v>
      </c>
      <c r="L26" s="17">
        <v>0</v>
      </c>
      <c r="M26" s="17">
        <v>0</v>
      </c>
      <c r="N26" s="22"/>
      <c r="O26" s="17">
        <f t="shared" si="0"/>
        <v>0</v>
      </c>
      <c r="P26" s="20"/>
    </row>
    <row r="27" spans="1:16" ht="15.75" customHeight="1">
      <c r="A27" s="25" t="s">
        <v>24</v>
      </c>
      <c r="B27" s="12">
        <v>4</v>
      </c>
      <c r="C27" s="12">
        <v>4</v>
      </c>
      <c r="D27" s="12">
        <v>4</v>
      </c>
      <c r="E27" s="12">
        <v>4</v>
      </c>
      <c r="F27" s="12">
        <v>4</v>
      </c>
      <c r="G27" s="12">
        <v>4</v>
      </c>
      <c r="H27" s="12">
        <v>4</v>
      </c>
      <c r="I27" s="12">
        <v>4.8</v>
      </c>
      <c r="J27" s="12">
        <v>6</v>
      </c>
      <c r="K27" s="13">
        <v>6</v>
      </c>
      <c r="L27" s="13">
        <v>6</v>
      </c>
      <c r="M27" s="13">
        <v>6</v>
      </c>
      <c r="N27" s="22"/>
      <c r="O27" s="13"/>
      <c r="P27" s="20"/>
    </row>
    <row r="28" spans="1:16" ht="15.75" customHeight="1">
      <c r="A28" s="26" t="s">
        <v>17</v>
      </c>
      <c r="B28" s="17">
        <v>330249.99</v>
      </c>
      <c r="C28" s="17">
        <v>312238.89999999997</v>
      </c>
      <c r="D28" s="17">
        <v>211191.07</v>
      </c>
      <c r="E28" s="17">
        <v>248100.71999999997</v>
      </c>
      <c r="F28" s="17">
        <v>283640.07</v>
      </c>
      <c r="G28" s="17">
        <v>50334.81</v>
      </c>
      <c r="H28" s="17">
        <v>199814.39999999999</v>
      </c>
      <c r="I28" s="17">
        <v>212676.2</v>
      </c>
      <c r="J28" s="17">
        <v>210512.04</v>
      </c>
      <c r="K28" s="18">
        <v>199177.41</v>
      </c>
      <c r="L28" s="17">
        <v>161397.69999999998</v>
      </c>
      <c r="M28" s="17">
        <v>213485.78999999998</v>
      </c>
      <c r="N28" s="22"/>
      <c r="O28" s="17">
        <f>SUM(B28:M28)</f>
        <v>2632819.1</v>
      </c>
      <c r="P28" s="20"/>
    </row>
    <row r="29" spans="1:16" ht="15.75" customHeight="1">
      <c r="A29" s="16" t="s">
        <v>18</v>
      </c>
      <c r="B29" s="17">
        <v>46235</v>
      </c>
      <c r="C29" s="17">
        <v>43713.450000000004</v>
      </c>
      <c r="D29" s="17">
        <v>29566.76</v>
      </c>
      <c r="E29" s="17">
        <v>34734.11</v>
      </c>
      <c r="F29" s="17">
        <v>39709.620000000003</v>
      </c>
      <c r="G29" s="17">
        <v>7046.87</v>
      </c>
      <c r="H29" s="17">
        <v>27974.01</v>
      </c>
      <c r="I29" s="17">
        <v>29774.670000000006</v>
      </c>
      <c r="J29" s="17">
        <v>29471.69</v>
      </c>
      <c r="K29" s="18">
        <v>27884.840000000004</v>
      </c>
      <c r="L29" s="17">
        <v>22595.68</v>
      </c>
      <c r="M29" s="17">
        <v>29888.019999999997</v>
      </c>
      <c r="N29" s="22"/>
      <c r="O29" s="17">
        <f>SUM(B29:M29)</f>
        <v>368594.72000000003</v>
      </c>
      <c r="P29" s="20"/>
    </row>
    <row r="30" spans="1:16" ht="15.75" customHeight="1">
      <c r="A30" s="26" t="s">
        <v>19</v>
      </c>
      <c r="B30" s="17">
        <v>6605</v>
      </c>
      <c r="C30" s="17">
        <v>6244.7899999999991</v>
      </c>
      <c r="D30" s="17">
        <v>4223.83</v>
      </c>
      <c r="E30" s="17">
        <v>4962.0200000000004</v>
      </c>
      <c r="F30" s="17">
        <v>5672.7899999999991</v>
      </c>
      <c r="G30" s="17">
        <v>1006.69</v>
      </c>
      <c r="H30" s="17">
        <v>3996.28</v>
      </c>
      <c r="I30" s="17">
        <v>4253.5199999999995</v>
      </c>
      <c r="J30" s="17">
        <v>4210.2300000000005</v>
      </c>
      <c r="K30" s="18">
        <v>3983.5499999999997</v>
      </c>
      <c r="L30" s="17">
        <v>3227.96</v>
      </c>
      <c r="M30" s="17">
        <v>4269.71</v>
      </c>
      <c r="N30" s="22"/>
      <c r="O30" s="17">
        <f>SUM(B30:M30)</f>
        <v>52656.37</v>
      </c>
      <c r="P30" s="20"/>
    </row>
    <row r="31" spans="1:16" ht="15.75" customHeight="1">
      <c r="B31" s="17"/>
      <c r="C31" s="17"/>
      <c r="D31" s="17"/>
      <c r="E31" s="17"/>
      <c r="F31" s="17"/>
      <c r="G31" s="17"/>
      <c r="I31" s="17"/>
      <c r="J31" s="17"/>
      <c r="K31" s="18"/>
      <c r="L31" s="17"/>
      <c r="M31" s="17"/>
      <c r="N31" s="5"/>
      <c r="O31" s="17"/>
      <c r="P31" s="20"/>
    </row>
    <row r="32" spans="1:16" ht="15.75" customHeight="1">
      <c r="A32" s="10" t="s">
        <v>25</v>
      </c>
      <c r="B32" s="27"/>
      <c r="C32" s="17"/>
      <c r="D32" s="17"/>
      <c r="E32" s="27"/>
      <c r="F32" s="27"/>
      <c r="G32" s="27"/>
      <c r="I32" s="27"/>
      <c r="J32" s="27"/>
      <c r="K32" s="28"/>
      <c r="L32" s="17"/>
      <c r="M32" s="17"/>
      <c r="N32" s="22"/>
      <c r="O32" s="27"/>
      <c r="P32" s="20"/>
    </row>
    <row r="33" spans="1:16" ht="15.75" customHeight="1">
      <c r="A33" s="11" t="s">
        <v>16</v>
      </c>
      <c r="B33" s="12">
        <v>174.2</v>
      </c>
      <c r="C33" s="34">
        <v>172.4</v>
      </c>
      <c r="D33" s="12">
        <v>174.4</v>
      </c>
      <c r="E33" s="12">
        <v>178</v>
      </c>
      <c r="F33" s="12">
        <v>166.2</v>
      </c>
      <c r="G33" s="12">
        <v>178.2</v>
      </c>
      <c r="H33" s="12">
        <v>178.66666666666666</v>
      </c>
      <c r="I33" s="12">
        <v>177</v>
      </c>
      <c r="J33" s="12">
        <v>181.4</v>
      </c>
      <c r="K33" s="13">
        <v>182.4</v>
      </c>
      <c r="L33" s="12">
        <v>184</v>
      </c>
      <c r="M33" s="12">
        <v>180.4</v>
      </c>
      <c r="N33" s="5"/>
      <c r="O33" s="12"/>
      <c r="P33" s="20"/>
    </row>
    <row r="34" spans="1:16" ht="15.75" customHeight="1">
      <c r="A34" s="16" t="s">
        <v>17</v>
      </c>
      <c r="B34" s="17">
        <v>17563545.650000002</v>
      </c>
      <c r="C34" s="17">
        <v>17759452.260000002</v>
      </c>
      <c r="D34" s="17">
        <v>16536893.640000001</v>
      </c>
      <c r="E34" s="17">
        <v>17078818.949999999</v>
      </c>
      <c r="F34" s="17">
        <v>16165327.949999999</v>
      </c>
      <c r="G34" s="17">
        <v>15802416.770000001</v>
      </c>
      <c r="H34" s="17">
        <v>17806393.359999999</v>
      </c>
      <c r="I34" s="17">
        <v>17023072.009999998</v>
      </c>
      <c r="J34" s="17">
        <v>17802035.359999999</v>
      </c>
      <c r="K34" s="18">
        <v>15744356.760000002</v>
      </c>
      <c r="L34" s="17">
        <v>18141500.720000003</v>
      </c>
      <c r="M34" s="17">
        <v>14696727.84</v>
      </c>
      <c r="N34" s="22"/>
      <c r="O34" s="17">
        <f>SUM(B34:M34)</f>
        <v>202120541.26999998</v>
      </c>
      <c r="P34" s="20"/>
    </row>
    <row r="35" spans="1:16" ht="15.75" customHeight="1">
      <c r="A35" s="16" t="s">
        <v>18</v>
      </c>
      <c r="B35" s="17">
        <v>2458896.41</v>
      </c>
      <c r="C35" s="17">
        <v>2486323.33</v>
      </c>
      <c r="D35" s="17">
        <v>2315165.12</v>
      </c>
      <c r="E35" s="17">
        <v>2391034.65</v>
      </c>
      <c r="F35" s="17">
        <v>2263145.9200000004</v>
      </c>
      <c r="G35" s="17">
        <v>2212338.34</v>
      </c>
      <c r="H35" s="17">
        <v>2492895.0699999998</v>
      </c>
      <c r="I35" s="17">
        <v>2383230.0999999996</v>
      </c>
      <c r="J35" s="17">
        <v>2492284.96</v>
      </c>
      <c r="K35" s="18">
        <v>2204209.94</v>
      </c>
      <c r="L35" s="17">
        <v>2539810.1100000003</v>
      </c>
      <c r="M35" s="17">
        <v>2057541.9200000002</v>
      </c>
      <c r="N35" s="5"/>
      <c r="O35" s="17">
        <f>SUM(B35:M35)</f>
        <v>28296875.870000001</v>
      </c>
      <c r="P35" s="20"/>
    </row>
    <row r="36" spans="1:16" ht="15.75" customHeight="1">
      <c r="A36" s="16" t="s">
        <v>19</v>
      </c>
      <c r="B36" s="17">
        <v>351270.92999999993</v>
      </c>
      <c r="C36" s="17">
        <v>355189.06000000006</v>
      </c>
      <c r="D36" s="17">
        <v>330737.89</v>
      </c>
      <c r="E36" s="17">
        <v>341576.39</v>
      </c>
      <c r="F36" s="17">
        <v>323306.56</v>
      </c>
      <c r="G36" s="17">
        <v>316048.33</v>
      </c>
      <c r="H36" s="17">
        <v>356127.87</v>
      </c>
      <c r="I36" s="17">
        <v>340461.47</v>
      </c>
      <c r="J36" s="17">
        <v>356040.72</v>
      </c>
      <c r="K36" s="18">
        <v>314887.13</v>
      </c>
      <c r="L36" s="17">
        <v>362830.01999999996</v>
      </c>
      <c r="M36" s="17">
        <v>293934.58</v>
      </c>
      <c r="N36" s="23"/>
      <c r="O36" s="17">
        <f>SUM(B36:M36)</f>
        <v>4042410.9499999997</v>
      </c>
      <c r="P36" s="20"/>
    </row>
    <row r="37" spans="1:16" ht="15.75" customHeight="1">
      <c r="A37" s="11" t="s">
        <v>20</v>
      </c>
      <c r="B37" s="12">
        <v>48</v>
      </c>
      <c r="C37" s="12">
        <v>48</v>
      </c>
      <c r="D37" s="12">
        <v>48</v>
      </c>
      <c r="E37" s="12">
        <v>48</v>
      </c>
      <c r="F37" s="12">
        <v>48</v>
      </c>
      <c r="G37" s="12">
        <v>48</v>
      </c>
      <c r="H37" s="12">
        <v>48</v>
      </c>
      <c r="I37" s="12">
        <v>48</v>
      </c>
      <c r="J37" s="12">
        <v>48</v>
      </c>
      <c r="K37" s="13">
        <v>48</v>
      </c>
      <c r="L37" s="12">
        <v>48</v>
      </c>
      <c r="M37" s="12">
        <v>48</v>
      </c>
      <c r="N37" s="5"/>
      <c r="O37" s="12"/>
      <c r="P37" s="20"/>
    </row>
    <row r="38" spans="1:16" ht="15.75" customHeight="1">
      <c r="A38" s="16" t="s">
        <v>17</v>
      </c>
      <c r="B38" s="17">
        <v>1375763.26</v>
      </c>
      <c r="C38" s="17">
        <v>1402152.05</v>
      </c>
      <c r="D38" s="17">
        <v>1345083</v>
      </c>
      <c r="E38" s="17">
        <v>1378664.03</v>
      </c>
      <c r="F38" s="17">
        <v>1378734</v>
      </c>
      <c r="G38" s="17">
        <v>1418820.01</v>
      </c>
      <c r="H38" s="17">
        <v>1424312</v>
      </c>
      <c r="I38" s="17">
        <v>1344622</v>
      </c>
      <c r="J38" s="17">
        <v>1449848</v>
      </c>
      <c r="K38" s="18">
        <v>1378941</v>
      </c>
      <c r="L38" s="17">
        <v>1500778.3</v>
      </c>
      <c r="M38" s="17">
        <v>1607168.26</v>
      </c>
      <c r="N38" s="21"/>
      <c r="O38" s="17">
        <f>SUM(B38:M38)</f>
        <v>17004885.91</v>
      </c>
      <c r="P38" s="20"/>
    </row>
    <row r="39" spans="1:16" ht="15.75" customHeight="1">
      <c r="A39" s="16" t="s">
        <v>18</v>
      </c>
      <c r="B39" s="17">
        <v>192606.86000000002</v>
      </c>
      <c r="C39" s="17">
        <v>196301.29</v>
      </c>
      <c r="D39" s="17">
        <v>188311.62</v>
      </c>
      <c r="E39" s="17">
        <v>193012.96</v>
      </c>
      <c r="F39" s="17">
        <v>193022.75999999998</v>
      </c>
      <c r="G39" s="17">
        <v>198634.8</v>
      </c>
      <c r="H39" s="17">
        <v>199403.68</v>
      </c>
      <c r="I39" s="17">
        <v>188247.08000000002</v>
      </c>
      <c r="J39" s="17">
        <v>202978.72000000003</v>
      </c>
      <c r="K39" s="18">
        <v>193051.74</v>
      </c>
      <c r="L39" s="17">
        <v>210108.96</v>
      </c>
      <c r="M39" s="17">
        <v>225003.56</v>
      </c>
      <c r="O39" s="17">
        <f>SUM(B39:M39)</f>
        <v>2380684.0300000003</v>
      </c>
      <c r="P39" s="20"/>
    </row>
    <row r="40" spans="1:16" ht="15.75" customHeight="1">
      <c r="A40" s="16" t="s">
        <v>19</v>
      </c>
      <c r="B40" s="17">
        <v>27515.270000000004</v>
      </c>
      <c r="C40" s="17">
        <v>28043.039999999997</v>
      </c>
      <c r="D40" s="17">
        <v>26901.66</v>
      </c>
      <c r="E40" s="17">
        <v>27573.279999999995</v>
      </c>
      <c r="F40" s="17">
        <v>27574.679999999997</v>
      </c>
      <c r="G40" s="17">
        <v>28376.400000000001</v>
      </c>
      <c r="H40" s="17">
        <v>28486.240000000002</v>
      </c>
      <c r="I40" s="17">
        <v>26892.440000000002</v>
      </c>
      <c r="J40" s="17">
        <v>28996.959999999999</v>
      </c>
      <c r="K40" s="18">
        <v>27578.82</v>
      </c>
      <c r="L40" s="17">
        <v>30015.57</v>
      </c>
      <c r="M40" s="17">
        <v>32143.37</v>
      </c>
      <c r="O40" s="17">
        <f>SUM(B40:M40)</f>
        <v>340097.73</v>
      </c>
      <c r="P40" s="20"/>
    </row>
    <row r="41" spans="1:16" ht="15.75" customHeight="1">
      <c r="A41" s="11" t="s">
        <v>21</v>
      </c>
      <c r="B41" s="12">
        <v>114.2</v>
      </c>
      <c r="C41" s="12">
        <v>112.4</v>
      </c>
      <c r="D41" s="12">
        <v>114.4</v>
      </c>
      <c r="E41" s="12">
        <v>118</v>
      </c>
      <c r="F41" s="12">
        <v>106.2</v>
      </c>
      <c r="G41" s="12">
        <v>118.2</v>
      </c>
      <c r="H41" s="12">
        <v>118</v>
      </c>
      <c r="I41" s="12">
        <v>117</v>
      </c>
      <c r="J41" s="12">
        <v>121.4</v>
      </c>
      <c r="K41" s="13">
        <v>122.4</v>
      </c>
      <c r="L41" s="12">
        <v>124</v>
      </c>
      <c r="M41" s="12">
        <v>120.4</v>
      </c>
      <c r="N41" s="29"/>
      <c r="O41" s="12"/>
      <c r="P41" s="20"/>
    </row>
    <row r="42" spans="1:16" ht="15.75" customHeight="1">
      <c r="A42" s="16" t="s">
        <v>17</v>
      </c>
      <c r="B42" s="17">
        <v>15848059</v>
      </c>
      <c r="C42" s="17">
        <v>16032496.01</v>
      </c>
      <c r="D42" s="17">
        <v>14937428.92</v>
      </c>
      <c r="E42" s="17">
        <v>15453562.710000001</v>
      </c>
      <c r="F42" s="17">
        <v>14377132.82</v>
      </c>
      <c r="G42" s="17">
        <v>13958354.24</v>
      </c>
      <c r="H42" s="17">
        <v>15881765.77</v>
      </c>
      <c r="I42" s="17">
        <v>15247640.51</v>
      </c>
      <c r="J42" s="17">
        <v>15978901.25</v>
      </c>
      <c r="K42" s="18">
        <v>14080171.6</v>
      </c>
      <c r="L42" s="17">
        <v>16263492.859999999</v>
      </c>
      <c r="M42" s="17">
        <v>12794375.5</v>
      </c>
      <c r="N42" s="19"/>
      <c r="O42" s="17">
        <f t="shared" ref="O42:O52" si="1">SUM(B42:M42)</f>
        <v>180853381.19</v>
      </c>
      <c r="P42" s="20"/>
    </row>
    <row r="43" spans="1:16" ht="15.75" customHeight="1">
      <c r="A43" s="16" t="s">
        <v>18</v>
      </c>
      <c r="B43" s="17">
        <v>2218728.27</v>
      </c>
      <c r="C43" s="17">
        <v>2244549.4500000002</v>
      </c>
      <c r="D43" s="17">
        <v>2091240.0599999998</v>
      </c>
      <c r="E43" s="17">
        <v>2163498.79</v>
      </c>
      <c r="F43" s="17">
        <v>2012798.5999999999</v>
      </c>
      <c r="G43" s="17">
        <v>1954169.59</v>
      </c>
      <c r="H43" s="17">
        <v>2223447.2100000004</v>
      </c>
      <c r="I43" s="17">
        <v>2134669.69</v>
      </c>
      <c r="J43" s="17">
        <v>2237046.1800000002</v>
      </c>
      <c r="K43" s="18">
        <v>1971224.02</v>
      </c>
      <c r="L43" s="17">
        <v>2276889</v>
      </c>
      <c r="M43" s="17">
        <v>1791212.5899999999</v>
      </c>
      <c r="N43" s="21"/>
      <c r="O43" s="17">
        <f t="shared" si="1"/>
        <v>25319473.449999999</v>
      </c>
      <c r="P43" s="20"/>
    </row>
    <row r="44" spans="1:16" ht="15.75" customHeight="1">
      <c r="A44" s="16" t="s">
        <v>19</v>
      </c>
      <c r="B44" s="17">
        <v>316961.19</v>
      </c>
      <c r="C44" s="17">
        <v>320649.93</v>
      </c>
      <c r="D44" s="17">
        <v>298748.58999999997</v>
      </c>
      <c r="E44" s="17">
        <v>309071.27</v>
      </c>
      <c r="F44" s="17">
        <v>287542.66000000003</v>
      </c>
      <c r="G44" s="17">
        <v>279167.08999999997</v>
      </c>
      <c r="H44" s="17">
        <v>317635.32</v>
      </c>
      <c r="I44" s="17">
        <v>304952.83</v>
      </c>
      <c r="J44" s="17">
        <v>319578.02999999997</v>
      </c>
      <c r="K44" s="18">
        <v>281603.43</v>
      </c>
      <c r="L44" s="17">
        <v>325269.86000000004</v>
      </c>
      <c r="M44" s="17">
        <v>255887.53</v>
      </c>
      <c r="N44" s="21"/>
      <c r="O44" s="17">
        <f t="shared" si="1"/>
        <v>3617067.7299999995</v>
      </c>
      <c r="P44" s="20"/>
    </row>
    <row r="45" spans="1:16" ht="15.75" customHeight="1">
      <c r="A45" s="11" t="s">
        <v>22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3">
        <v>0</v>
      </c>
      <c r="L45" s="12">
        <v>0</v>
      </c>
      <c r="M45" s="12">
        <v>0</v>
      </c>
      <c r="N45" s="5"/>
      <c r="O45" s="12"/>
      <c r="P45" s="20"/>
    </row>
    <row r="46" spans="1:16" ht="15.75" customHeight="1">
      <c r="A46" s="16" t="s">
        <v>17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8">
        <v>0</v>
      </c>
      <c r="L46" s="17">
        <v>0</v>
      </c>
      <c r="M46" s="17">
        <v>0</v>
      </c>
      <c r="N46" s="22"/>
      <c r="O46" s="17">
        <f t="shared" si="1"/>
        <v>0</v>
      </c>
      <c r="P46" s="20"/>
    </row>
    <row r="47" spans="1:16" ht="15.75" customHeight="1">
      <c r="A47" s="16" t="s">
        <v>18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8">
        <v>0</v>
      </c>
      <c r="L47" s="17">
        <v>0</v>
      </c>
      <c r="M47" s="17">
        <v>0</v>
      </c>
      <c r="N47" s="5"/>
      <c r="O47" s="17">
        <f t="shared" si="1"/>
        <v>0</v>
      </c>
      <c r="P47" s="20"/>
    </row>
    <row r="48" spans="1:16" ht="15.75" customHeight="1">
      <c r="A48" s="16" t="s">
        <v>19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8">
        <v>0</v>
      </c>
      <c r="L48" s="17">
        <v>0</v>
      </c>
      <c r="M48" s="17">
        <v>0</v>
      </c>
      <c r="N48" s="22"/>
      <c r="O48" s="17">
        <f t="shared" si="1"/>
        <v>0</v>
      </c>
      <c r="P48" s="20"/>
    </row>
    <row r="49" spans="1:16" ht="15.75" customHeight="1">
      <c r="A49" s="11" t="s">
        <v>23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3">
        <v>0</v>
      </c>
      <c r="L49" s="12">
        <v>0</v>
      </c>
      <c r="M49" s="12">
        <v>0</v>
      </c>
      <c r="N49" s="5"/>
      <c r="O49" s="12"/>
      <c r="P49" s="20"/>
    </row>
    <row r="50" spans="1:16" ht="15.75" customHeight="1">
      <c r="A50" s="16" t="s">
        <v>17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8">
        <v>0</v>
      </c>
      <c r="L50" s="17">
        <v>0</v>
      </c>
      <c r="M50" s="17">
        <v>0</v>
      </c>
      <c r="N50" s="23"/>
      <c r="O50" s="17">
        <f t="shared" si="1"/>
        <v>0</v>
      </c>
      <c r="P50" s="20"/>
    </row>
    <row r="51" spans="1:16" ht="15.75" customHeight="1">
      <c r="A51" s="16" t="s">
        <v>18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8">
        <v>0</v>
      </c>
      <c r="L51" s="17">
        <v>0</v>
      </c>
      <c r="M51" s="17">
        <v>0</v>
      </c>
      <c r="N51" s="5"/>
      <c r="O51" s="17">
        <f t="shared" si="1"/>
        <v>0</v>
      </c>
      <c r="P51" s="20"/>
    </row>
    <row r="52" spans="1:16" ht="15.75" customHeight="1">
      <c r="A52" s="16" t="s">
        <v>19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8">
        <v>0</v>
      </c>
      <c r="L52" s="17">
        <v>0</v>
      </c>
      <c r="M52" s="17">
        <v>0</v>
      </c>
      <c r="N52" s="21"/>
      <c r="O52" s="17">
        <f t="shared" si="1"/>
        <v>0</v>
      </c>
      <c r="P52" s="20"/>
    </row>
    <row r="53" spans="1:16" ht="15.75" customHeight="1">
      <c r="A53" s="25" t="s">
        <v>24</v>
      </c>
      <c r="B53" s="12">
        <v>12</v>
      </c>
      <c r="C53" s="12">
        <v>12</v>
      </c>
      <c r="D53" s="12">
        <v>12</v>
      </c>
      <c r="E53" s="12">
        <v>12</v>
      </c>
      <c r="F53" s="12">
        <v>12</v>
      </c>
      <c r="G53" s="12">
        <v>12</v>
      </c>
      <c r="H53" s="12">
        <v>12.666666666666666</v>
      </c>
      <c r="I53" s="12">
        <v>12</v>
      </c>
      <c r="J53" s="12">
        <v>12</v>
      </c>
      <c r="K53" s="13">
        <v>12</v>
      </c>
      <c r="L53" s="12">
        <v>12</v>
      </c>
      <c r="M53" s="12">
        <v>12</v>
      </c>
      <c r="N53" s="21"/>
      <c r="O53" s="17"/>
      <c r="P53" s="20"/>
    </row>
    <row r="54" spans="1:16" ht="15.75" customHeight="1">
      <c r="A54" s="26" t="s">
        <v>17</v>
      </c>
      <c r="B54" s="17">
        <v>339723.38999999996</v>
      </c>
      <c r="C54" s="17">
        <v>324804.2</v>
      </c>
      <c r="D54" s="17">
        <v>254381.72</v>
      </c>
      <c r="E54" s="17">
        <v>246592.20999999996</v>
      </c>
      <c r="F54" s="17">
        <v>409461.13</v>
      </c>
      <c r="G54" s="17">
        <v>425242.52</v>
      </c>
      <c r="H54" s="17">
        <v>500315.58999999997</v>
      </c>
      <c r="I54" s="17">
        <v>430809.5</v>
      </c>
      <c r="J54" s="17">
        <v>373286.11</v>
      </c>
      <c r="K54" s="18">
        <v>285244.16000000003</v>
      </c>
      <c r="L54" s="17">
        <v>377229.56</v>
      </c>
      <c r="M54" s="17">
        <v>295184.08</v>
      </c>
      <c r="N54" s="21"/>
      <c r="O54" s="17">
        <f>SUM(B54:M54)</f>
        <v>4262274.17</v>
      </c>
      <c r="P54" s="20"/>
    </row>
    <row r="55" spans="1:16" ht="15.75" customHeight="1">
      <c r="A55" s="16" t="s">
        <v>18</v>
      </c>
      <c r="B55" s="17">
        <v>47561.279999999999</v>
      </c>
      <c r="C55" s="17">
        <v>45472.59</v>
      </c>
      <c r="D55" s="17">
        <v>35613.439999999995</v>
      </c>
      <c r="E55" s="17">
        <v>34522.9</v>
      </c>
      <c r="F55" s="17">
        <v>57324.560000000005</v>
      </c>
      <c r="G55" s="17">
        <v>59533.95</v>
      </c>
      <c r="H55" s="17">
        <v>70044.179999999993</v>
      </c>
      <c r="I55" s="17">
        <v>60313.33</v>
      </c>
      <c r="J55" s="17">
        <v>52260.06</v>
      </c>
      <c r="K55" s="18">
        <v>39934.18</v>
      </c>
      <c r="L55" s="17">
        <v>52812.149999999994</v>
      </c>
      <c r="M55" s="17">
        <v>41325.769999999997</v>
      </c>
      <c r="N55" s="21"/>
      <c r="O55" s="17">
        <f>SUM(B55:M55)</f>
        <v>596718.39</v>
      </c>
      <c r="P55" s="20"/>
    </row>
    <row r="56" spans="1:16" ht="15.75" customHeight="1">
      <c r="A56" s="26" t="s">
        <v>19</v>
      </c>
      <c r="B56" s="17">
        <v>6794.4699999999993</v>
      </c>
      <c r="C56" s="17">
        <v>6496.09</v>
      </c>
      <c r="D56" s="17">
        <v>5087.6400000000003</v>
      </c>
      <c r="E56" s="17">
        <v>4931.84</v>
      </c>
      <c r="F56" s="17">
        <v>8189.2199999999993</v>
      </c>
      <c r="G56" s="17">
        <v>8504.84</v>
      </c>
      <c r="H56" s="17">
        <v>10006.31</v>
      </c>
      <c r="I56" s="17">
        <v>8616.2000000000007</v>
      </c>
      <c r="J56" s="17">
        <v>7465.7300000000005</v>
      </c>
      <c r="K56" s="18">
        <v>5704.880000000001</v>
      </c>
      <c r="L56" s="17">
        <v>7544.59</v>
      </c>
      <c r="M56" s="17">
        <v>5903.68</v>
      </c>
      <c r="N56" s="21"/>
      <c r="O56" s="17">
        <f>SUM(B56:M56)</f>
        <v>85245.489999999991</v>
      </c>
      <c r="P56" s="20"/>
    </row>
    <row r="57" spans="1:16" ht="15.75" customHeight="1">
      <c r="A57" s="10"/>
      <c r="B57" s="17"/>
      <c r="C57" s="17"/>
      <c r="D57" s="17"/>
      <c r="E57" s="17"/>
      <c r="F57" s="17"/>
      <c r="G57" s="17"/>
      <c r="I57" s="17"/>
      <c r="J57" s="17"/>
      <c r="K57" s="18"/>
      <c r="L57" s="17"/>
      <c r="M57" s="17"/>
      <c r="N57" s="5"/>
      <c r="O57" s="17"/>
      <c r="P57" s="20"/>
    </row>
    <row r="58" spans="1:16" ht="15.75" customHeight="1">
      <c r="A58" s="10" t="s">
        <v>26</v>
      </c>
      <c r="B58" s="17"/>
      <c r="C58" s="17"/>
      <c r="D58" s="17"/>
      <c r="E58" s="17"/>
      <c r="F58" s="17"/>
      <c r="G58" s="17"/>
      <c r="I58" s="17"/>
      <c r="J58" s="17"/>
      <c r="K58" s="18"/>
      <c r="L58" s="17"/>
      <c r="M58" s="17"/>
      <c r="N58" s="21"/>
      <c r="O58" s="17"/>
      <c r="P58" s="20"/>
    </row>
    <row r="59" spans="1:16" ht="15.75" customHeight="1">
      <c r="A59" s="11" t="s">
        <v>16</v>
      </c>
      <c r="B59" s="12">
        <v>81</v>
      </c>
      <c r="C59" s="34">
        <v>81</v>
      </c>
      <c r="D59" s="12">
        <v>82</v>
      </c>
      <c r="E59" s="12">
        <v>82</v>
      </c>
      <c r="F59" s="12">
        <v>82</v>
      </c>
      <c r="G59" s="12">
        <v>82</v>
      </c>
      <c r="H59" s="12">
        <v>82</v>
      </c>
      <c r="I59" s="12">
        <v>77.8</v>
      </c>
      <c r="J59" s="12">
        <v>75.8</v>
      </c>
      <c r="K59" s="13">
        <v>77</v>
      </c>
      <c r="L59" s="12">
        <v>73</v>
      </c>
      <c r="M59" s="12">
        <v>73.599999999999994</v>
      </c>
      <c r="N59" s="23"/>
      <c r="O59" s="12"/>
      <c r="P59" s="20"/>
    </row>
    <row r="60" spans="1:16" ht="15.75" customHeight="1">
      <c r="A60" s="16" t="s">
        <v>17</v>
      </c>
      <c r="B60" s="17">
        <v>3487407.9799999995</v>
      </c>
      <c r="C60" s="17">
        <v>2950412.4</v>
      </c>
      <c r="D60" s="17">
        <v>2652688.0500000003</v>
      </c>
      <c r="E60" s="17">
        <v>3274772.0999999996</v>
      </c>
      <c r="F60" s="17">
        <v>2656222.9900000002</v>
      </c>
      <c r="G60" s="17">
        <v>3020904.94</v>
      </c>
      <c r="H60" s="17">
        <v>3135140.93</v>
      </c>
      <c r="I60" s="17">
        <v>2865251.0100000002</v>
      </c>
      <c r="J60" s="17">
        <v>2507002.7200000002</v>
      </c>
      <c r="K60" s="18">
        <v>2783532.0999999996</v>
      </c>
      <c r="L60" s="17">
        <v>2783394.63</v>
      </c>
      <c r="M60" s="17">
        <v>2521051.2200000002</v>
      </c>
      <c r="O60" s="17">
        <f>SUM(B60:M60)</f>
        <v>34637781.07</v>
      </c>
      <c r="P60" s="20"/>
    </row>
    <row r="61" spans="1:16" ht="15.75" customHeight="1">
      <c r="A61" s="16" t="s">
        <v>18</v>
      </c>
      <c r="B61" s="17">
        <v>534532.54</v>
      </c>
      <c r="C61" s="17">
        <v>449861.89000000007</v>
      </c>
      <c r="D61" s="17">
        <v>424821.25</v>
      </c>
      <c r="E61" s="17">
        <v>500183.88000000006</v>
      </c>
      <c r="F61" s="17">
        <v>416349.59</v>
      </c>
      <c r="G61" s="17">
        <v>497034.04</v>
      </c>
      <c r="H61" s="17">
        <v>489821.22000000003</v>
      </c>
      <c r="I61" s="17">
        <v>437593.46</v>
      </c>
      <c r="J61" s="17">
        <v>391390.67999999993</v>
      </c>
      <c r="K61" s="18">
        <v>436749.79000000004</v>
      </c>
      <c r="L61" s="17">
        <v>426433.18</v>
      </c>
      <c r="M61" s="17">
        <v>383359.95</v>
      </c>
      <c r="N61" s="29"/>
      <c r="O61" s="17">
        <f>SUM(B61:M61)</f>
        <v>5388131.4700000007</v>
      </c>
      <c r="P61" s="20"/>
    </row>
    <row r="62" spans="1:16" ht="15.75" customHeight="1">
      <c r="A62" s="16" t="s">
        <v>19</v>
      </c>
      <c r="B62" s="17">
        <v>69748.160000000003</v>
      </c>
      <c r="C62" s="17">
        <v>59008.240000000005</v>
      </c>
      <c r="D62" s="17">
        <v>53053.740000000005</v>
      </c>
      <c r="E62" s="17">
        <v>65495.43</v>
      </c>
      <c r="F62" s="17">
        <v>53124.469999999994</v>
      </c>
      <c r="G62" s="17">
        <v>60418.1</v>
      </c>
      <c r="H62" s="17">
        <v>62702.819999999992</v>
      </c>
      <c r="I62" s="17">
        <v>57305.04</v>
      </c>
      <c r="J62" s="17">
        <v>50140.06</v>
      </c>
      <c r="K62" s="18">
        <v>55670.64</v>
      </c>
      <c r="L62" s="17">
        <v>55667.91</v>
      </c>
      <c r="M62" s="17">
        <v>50421.02</v>
      </c>
      <c r="N62" s="19"/>
      <c r="O62" s="17">
        <f>SUM(B62:M62)</f>
        <v>692755.63</v>
      </c>
      <c r="P62" s="20"/>
    </row>
    <row r="63" spans="1:16" ht="15.75" customHeight="1">
      <c r="A63" s="11" t="s">
        <v>20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3">
        <v>0</v>
      </c>
      <c r="L63" s="12">
        <v>0</v>
      </c>
      <c r="M63" s="12">
        <v>0</v>
      </c>
      <c r="N63" s="21"/>
      <c r="O63" s="12"/>
      <c r="P63" s="20"/>
    </row>
    <row r="64" spans="1:16" ht="15.75" customHeight="1">
      <c r="A64" s="16" t="s">
        <v>17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8">
        <v>0</v>
      </c>
      <c r="L64" s="17">
        <v>0</v>
      </c>
      <c r="M64" s="17">
        <v>0</v>
      </c>
      <c r="N64" s="21"/>
      <c r="O64" s="17">
        <f>SUM(B64:M64)</f>
        <v>0</v>
      </c>
      <c r="P64" s="20"/>
    </row>
    <row r="65" spans="1:16" ht="15.75" customHeight="1">
      <c r="A65" s="16" t="s">
        <v>18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8">
        <v>0</v>
      </c>
      <c r="L65" s="17">
        <v>0</v>
      </c>
      <c r="M65" s="17">
        <v>0</v>
      </c>
      <c r="N65" s="5"/>
      <c r="O65" s="17">
        <f>SUM(B65:M65)</f>
        <v>0</v>
      </c>
      <c r="P65" s="20"/>
    </row>
    <row r="66" spans="1:16" ht="15.75" customHeight="1">
      <c r="A66" s="16" t="s">
        <v>19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8">
        <v>0</v>
      </c>
      <c r="L66" s="17">
        <v>0</v>
      </c>
      <c r="M66" s="17">
        <v>0</v>
      </c>
      <c r="N66" s="22"/>
      <c r="O66" s="17">
        <f>SUM(B66:M66)</f>
        <v>0</v>
      </c>
      <c r="P66" s="20"/>
    </row>
    <row r="67" spans="1:16" ht="15.75" customHeight="1">
      <c r="A67" s="11" t="s">
        <v>21</v>
      </c>
      <c r="B67" s="12">
        <v>76</v>
      </c>
      <c r="C67" s="12">
        <v>76</v>
      </c>
      <c r="D67" s="12">
        <v>76</v>
      </c>
      <c r="E67" s="12">
        <v>76</v>
      </c>
      <c r="F67" s="12">
        <v>76</v>
      </c>
      <c r="G67" s="12">
        <v>76</v>
      </c>
      <c r="H67" s="12">
        <v>76</v>
      </c>
      <c r="I67" s="12">
        <v>71.8</v>
      </c>
      <c r="J67" s="12">
        <v>69</v>
      </c>
      <c r="K67" s="13">
        <v>69</v>
      </c>
      <c r="L67" s="12">
        <v>65</v>
      </c>
      <c r="M67" s="12">
        <v>62.6</v>
      </c>
      <c r="N67" s="5"/>
      <c r="O67" s="12"/>
      <c r="P67" s="20"/>
    </row>
    <row r="68" spans="1:16" ht="15.75" customHeight="1">
      <c r="A68" s="16" t="s">
        <v>17</v>
      </c>
      <c r="B68" s="17">
        <v>3351244.9799999995</v>
      </c>
      <c r="C68" s="17">
        <v>2842164.9</v>
      </c>
      <c r="D68" s="17">
        <v>2495497.09</v>
      </c>
      <c r="E68" s="17">
        <v>3152078.54</v>
      </c>
      <c r="F68" s="17">
        <v>2525404.29</v>
      </c>
      <c r="G68" s="17">
        <v>2802942.16</v>
      </c>
      <c r="H68" s="17">
        <v>2985430.6400000006</v>
      </c>
      <c r="I68" s="17">
        <v>2758020.65</v>
      </c>
      <c r="J68" s="17">
        <v>2382624.7199999997</v>
      </c>
      <c r="K68" s="18">
        <v>2579945.2799999998</v>
      </c>
      <c r="L68" s="17">
        <v>2622149.7000000002</v>
      </c>
      <c r="M68" s="17">
        <v>2391250.75</v>
      </c>
      <c r="N68" s="22"/>
      <c r="O68" s="17">
        <f t="shared" ref="O68:O74" si="2">SUM(B68:M68)</f>
        <v>32888753.699999996</v>
      </c>
      <c r="P68" s="20"/>
    </row>
    <row r="69" spans="1:16" ht="15.75" customHeight="1">
      <c r="A69" s="16" t="s">
        <v>18</v>
      </c>
      <c r="B69" s="17">
        <v>469174.3</v>
      </c>
      <c r="C69" s="17">
        <v>397903.08999999997</v>
      </c>
      <c r="D69" s="17">
        <v>349369.59999999998</v>
      </c>
      <c r="E69" s="17">
        <v>441290.99</v>
      </c>
      <c r="F69" s="17">
        <v>353556.61</v>
      </c>
      <c r="G69" s="17">
        <v>392411.91</v>
      </c>
      <c r="H69" s="17">
        <v>417960.28</v>
      </c>
      <c r="I69" s="17">
        <v>386122.89999999997</v>
      </c>
      <c r="J69" s="17">
        <v>333567.45999999996</v>
      </c>
      <c r="K69" s="18">
        <v>361192.34</v>
      </c>
      <c r="L69" s="17">
        <v>367100.96</v>
      </c>
      <c r="M69" s="17">
        <v>334775.10000000003</v>
      </c>
      <c r="N69" s="5"/>
      <c r="O69" s="17">
        <f t="shared" si="2"/>
        <v>4604425.54</v>
      </c>
      <c r="P69" s="20"/>
    </row>
    <row r="70" spans="1:16" ht="15.75" customHeight="1">
      <c r="A70" s="16" t="s">
        <v>19</v>
      </c>
      <c r="B70" s="17">
        <v>67024.899999999994</v>
      </c>
      <c r="C70" s="17">
        <v>56843.289999999994</v>
      </c>
      <c r="D70" s="17">
        <v>49909.93</v>
      </c>
      <c r="E70" s="17">
        <v>63041.56</v>
      </c>
      <c r="F70" s="17">
        <v>50508.09</v>
      </c>
      <c r="G70" s="17">
        <v>56058.840000000004</v>
      </c>
      <c r="H70" s="17">
        <v>59708.61</v>
      </c>
      <c r="I70" s="17">
        <v>55160.420000000006</v>
      </c>
      <c r="J70" s="17">
        <v>47652.499999999993</v>
      </c>
      <c r="K70" s="18">
        <v>51598.9</v>
      </c>
      <c r="L70" s="17">
        <v>52443</v>
      </c>
      <c r="M70" s="17">
        <v>47825.009999999995</v>
      </c>
      <c r="N70" s="23"/>
      <c r="O70" s="17">
        <f t="shared" si="2"/>
        <v>657775.05000000005</v>
      </c>
      <c r="P70" s="20"/>
    </row>
    <row r="71" spans="1:16" ht="15.75" customHeight="1">
      <c r="A71" s="11" t="s">
        <v>22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3">
        <v>0</v>
      </c>
      <c r="L71" s="13">
        <v>0</v>
      </c>
      <c r="M71" s="12">
        <v>0</v>
      </c>
      <c r="N71" s="5"/>
      <c r="O71" s="12"/>
      <c r="P71" s="20"/>
    </row>
    <row r="72" spans="1:16" ht="15.75" customHeight="1">
      <c r="A72" s="16" t="s">
        <v>17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8">
        <v>0</v>
      </c>
      <c r="L72" s="17">
        <v>0</v>
      </c>
      <c r="M72" s="17">
        <v>0</v>
      </c>
      <c r="N72" s="21"/>
      <c r="O72" s="17">
        <f t="shared" si="2"/>
        <v>0</v>
      </c>
      <c r="P72" s="20"/>
    </row>
    <row r="73" spans="1:16" ht="15.75" customHeight="1">
      <c r="A73" s="16" t="s">
        <v>18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8">
        <v>0</v>
      </c>
      <c r="L73" s="17">
        <v>0</v>
      </c>
      <c r="M73" s="17">
        <v>0</v>
      </c>
      <c r="N73" s="30"/>
      <c r="O73" s="17">
        <f t="shared" si="2"/>
        <v>0</v>
      </c>
      <c r="P73" s="20"/>
    </row>
    <row r="74" spans="1:16" ht="15.75" customHeight="1">
      <c r="A74" s="16" t="s">
        <v>19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8">
        <v>0</v>
      </c>
      <c r="L74" s="17">
        <v>0</v>
      </c>
      <c r="M74" s="17">
        <v>0</v>
      </c>
      <c r="N74" s="22"/>
      <c r="O74" s="17">
        <f t="shared" si="2"/>
        <v>0</v>
      </c>
      <c r="P74" s="20"/>
    </row>
    <row r="75" spans="1:16" ht="15.75" customHeight="1">
      <c r="A75" s="11" t="s">
        <v>23</v>
      </c>
      <c r="B75" s="12">
        <v>5</v>
      </c>
      <c r="C75" s="12">
        <v>5</v>
      </c>
      <c r="D75" s="12">
        <v>6</v>
      </c>
      <c r="E75" s="12">
        <v>6</v>
      </c>
      <c r="F75" s="12">
        <v>6</v>
      </c>
      <c r="G75" s="12">
        <v>6</v>
      </c>
      <c r="H75" s="12">
        <v>6</v>
      </c>
      <c r="I75" s="12">
        <v>6</v>
      </c>
      <c r="J75" s="12">
        <v>6</v>
      </c>
      <c r="K75" s="13">
        <v>6</v>
      </c>
      <c r="L75" s="12">
        <v>6</v>
      </c>
      <c r="M75" s="12">
        <v>9</v>
      </c>
      <c r="N75" s="29"/>
      <c r="O75" s="12"/>
      <c r="P75" s="20"/>
    </row>
    <row r="76" spans="1:16" ht="15.75" customHeight="1">
      <c r="A76" s="16" t="s">
        <v>17</v>
      </c>
      <c r="B76" s="17">
        <v>136163</v>
      </c>
      <c r="C76" s="17">
        <v>108247.5</v>
      </c>
      <c r="D76" s="17">
        <v>157190.96</v>
      </c>
      <c r="E76" s="17">
        <v>122693.55999999998</v>
      </c>
      <c r="F76" s="17">
        <v>130818.7</v>
      </c>
      <c r="G76" s="17">
        <v>217962.78</v>
      </c>
      <c r="H76" s="17">
        <v>149710.28999999998</v>
      </c>
      <c r="I76" s="17">
        <v>107230.36</v>
      </c>
      <c r="J76" s="17">
        <v>118853.81</v>
      </c>
      <c r="K76" s="18">
        <v>138397.97</v>
      </c>
      <c r="L76" s="17">
        <v>108111.6</v>
      </c>
      <c r="M76" s="17">
        <v>89449.37</v>
      </c>
      <c r="N76" s="19"/>
      <c r="O76" s="17">
        <f t="shared" ref="O76:O82" si="3">SUM(B76:M76)</f>
        <v>1584829.9</v>
      </c>
      <c r="P76" s="20"/>
    </row>
    <row r="77" spans="1:16" ht="15.75" customHeight="1">
      <c r="A77" s="16" t="s">
        <v>18</v>
      </c>
      <c r="B77" s="17">
        <v>65358.239999999998</v>
      </c>
      <c r="C77" s="17">
        <v>51958.8</v>
      </c>
      <c r="D77" s="17">
        <v>75451.649999999994</v>
      </c>
      <c r="E77" s="17">
        <v>58892.890000000007</v>
      </c>
      <c r="F77" s="17">
        <v>62792.98</v>
      </c>
      <c r="G77" s="17">
        <v>104622.13</v>
      </c>
      <c r="H77" s="17">
        <v>71860.940000000017</v>
      </c>
      <c r="I77" s="17">
        <v>51470.560000000005</v>
      </c>
      <c r="J77" s="17">
        <v>57049.829999999994</v>
      </c>
      <c r="K77" s="18">
        <v>66431.02</v>
      </c>
      <c r="L77" s="17">
        <v>51893.560000000005</v>
      </c>
      <c r="M77" s="17">
        <v>42935.7</v>
      </c>
      <c r="N77" s="21"/>
      <c r="O77" s="17">
        <f t="shared" si="3"/>
        <v>760718.3</v>
      </c>
      <c r="P77" s="20"/>
    </row>
    <row r="78" spans="1:16" ht="15.75" customHeight="1">
      <c r="A78" s="16" t="s">
        <v>19</v>
      </c>
      <c r="B78" s="17">
        <v>2723.26</v>
      </c>
      <c r="C78" s="17">
        <v>2164.9500000000003</v>
      </c>
      <c r="D78" s="17">
        <v>3143.8099999999995</v>
      </c>
      <c r="E78" s="17">
        <v>2453.8700000000003</v>
      </c>
      <c r="F78" s="17">
        <v>2616.38</v>
      </c>
      <c r="G78" s="17">
        <v>4359.26</v>
      </c>
      <c r="H78" s="17">
        <v>2994.21</v>
      </c>
      <c r="I78" s="17">
        <v>2144.62</v>
      </c>
      <c r="J78" s="17">
        <v>2377.0700000000002</v>
      </c>
      <c r="K78" s="18">
        <v>2767.96</v>
      </c>
      <c r="L78" s="17">
        <v>2162.2400000000002</v>
      </c>
      <c r="M78" s="17">
        <v>1788.99</v>
      </c>
      <c r="N78" s="21"/>
      <c r="O78" s="17">
        <f t="shared" si="3"/>
        <v>31696.62</v>
      </c>
      <c r="P78" s="20"/>
    </row>
    <row r="79" spans="1:16" ht="15.75" customHeight="1">
      <c r="A79" s="25" t="s">
        <v>24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3">
        <v>2</v>
      </c>
      <c r="L79" s="12">
        <v>2</v>
      </c>
      <c r="M79" s="12">
        <v>2</v>
      </c>
      <c r="N79" s="21"/>
      <c r="O79" s="17"/>
      <c r="P79" s="20"/>
    </row>
    <row r="80" spans="1:16" ht="15.75" customHeight="1">
      <c r="A80" s="26" t="s">
        <v>17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5524.1900000000005</v>
      </c>
      <c r="K80" s="18">
        <v>65188.850000000006</v>
      </c>
      <c r="L80" s="17">
        <v>53133.329999999994</v>
      </c>
      <c r="M80" s="17">
        <v>40351.1</v>
      </c>
      <c r="N80" s="21"/>
      <c r="O80" s="17">
        <f t="shared" si="3"/>
        <v>164197.47</v>
      </c>
      <c r="P80" s="20"/>
    </row>
    <row r="81" spans="1:16" ht="15.75" customHeight="1">
      <c r="A81" s="16" t="s">
        <v>18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773.39</v>
      </c>
      <c r="K81" s="18">
        <v>9126.43</v>
      </c>
      <c r="L81" s="17">
        <v>7438.66</v>
      </c>
      <c r="M81" s="17">
        <v>5649.15</v>
      </c>
      <c r="N81" s="21"/>
      <c r="O81" s="17">
        <f t="shared" si="3"/>
        <v>22987.629999999997</v>
      </c>
      <c r="P81" s="20"/>
    </row>
    <row r="82" spans="1:16" ht="15.75" customHeight="1">
      <c r="A82" s="26" t="s">
        <v>19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110.49000000000001</v>
      </c>
      <c r="K82" s="18">
        <v>1303.78</v>
      </c>
      <c r="L82" s="17">
        <v>1062.67</v>
      </c>
      <c r="M82" s="17">
        <v>807.02</v>
      </c>
      <c r="N82" s="21"/>
      <c r="O82" s="17">
        <f t="shared" si="3"/>
        <v>3283.96</v>
      </c>
      <c r="P82" s="20"/>
    </row>
    <row r="83" spans="1:16" ht="15.75" customHeight="1">
      <c r="B83" s="17"/>
      <c r="C83" s="17"/>
      <c r="D83" s="17"/>
      <c r="E83" s="17"/>
      <c r="F83" s="17"/>
      <c r="G83" s="17"/>
      <c r="I83" s="17"/>
      <c r="J83" s="17"/>
      <c r="K83" s="18"/>
      <c r="L83" s="17"/>
      <c r="M83" s="17"/>
      <c r="N83" s="21"/>
      <c r="O83" s="17"/>
      <c r="P83" s="20"/>
    </row>
    <row r="84" spans="1:16" ht="15.75" customHeight="1">
      <c r="A84" s="10" t="s">
        <v>27</v>
      </c>
      <c r="B84" s="17"/>
      <c r="C84" s="17"/>
      <c r="D84" s="17"/>
      <c r="E84" s="17"/>
      <c r="F84" s="17"/>
      <c r="G84" s="17"/>
      <c r="I84" s="17"/>
      <c r="J84" s="17"/>
      <c r="K84" s="18"/>
      <c r="L84" s="17"/>
      <c r="M84" s="17"/>
      <c r="N84" s="21"/>
      <c r="O84" s="17"/>
      <c r="P84" s="20"/>
    </row>
    <row r="85" spans="1:16" ht="15.75" customHeight="1">
      <c r="A85" s="11" t="s">
        <v>16</v>
      </c>
      <c r="B85" s="12">
        <v>42</v>
      </c>
      <c r="C85" s="34">
        <v>42</v>
      </c>
      <c r="D85" s="12">
        <v>42</v>
      </c>
      <c r="E85" s="12">
        <v>42</v>
      </c>
      <c r="F85" s="12">
        <v>36.4</v>
      </c>
      <c r="G85" s="12">
        <v>35</v>
      </c>
      <c r="H85" s="12">
        <v>35</v>
      </c>
      <c r="I85" s="12">
        <v>36.200000000000003</v>
      </c>
      <c r="J85" s="12">
        <v>35.200000000000003</v>
      </c>
      <c r="K85" s="13">
        <v>35</v>
      </c>
      <c r="L85" s="12">
        <v>35</v>
      </c>
      <c r="M85" s="12">
        <v>35</v>
      </c>
      <c r="N85" s="5"/>
      <c r="O85" s="12"/>
      <c r="P85" s="20"/>
    </row>
    <row r="86" spans="1:16" ht="15.75" customHeight="1">
      <c r="A86" s="16" t="s">
        <v>17</v>
      </c>
      <c r="B86" s="17">
        <v>1141024.95</v>
      </c>
      <c r="C86" s="17">
        <v>1066852.3799999999</v>
      </c>
      <c r="D86" s="17">
        <v>1421119.78</v>
      </c>
      <c r="E86" s="17">
        <v>896924.4</v>
      </c>
      <c r="F86" s="17">
        <v>967354.84</v>
      </c>
      <c r="G86" s="17">
        <v>1049143.8900000001</v>
      </c>
      <c r="H86" s="17">
        <v>908336.31</v>
      </c>
      <c r="I86" s="17">
        <v>987411.47000000009</v>
      </c>
      <c r="J86" s="17">
        <v>910855.33000000007</v>
      </c>
      <c r="K86" s="18">
        <v>1112502.77</v>
      </c>
      <c r="L86" s="17">
        <v>994072.96</v>
      </c>
      <c r="M86" s="17">
        <v>1290646.6299999999</v>
      </c>
      <c r="N86" s="22"/>
      <c r="O86" s="17">
        <f>SUM(B86:M86)</f>
        <v>12746245.710000001</v>
      </c>
      <c r="P86" s="20"/>
    </row>
    <row r="87" spans="1:16" ht="15.75" customHeight="1">
      <c r="A87" s="16" t="s">
        <v>18</v>
      </c>
      <c r="B87" s="17">
        <v>159743.49</v>
      </c>
      <c r="C87" s="17">
        <v>149359.34000000003</v>
      </c>
      <c r="D87" s="17">
        <v>198956.78</v>
      </c>
      <c r="E87" s="17">
        <v>125569.44</v>
      </c>
      <c r="F87" s="17">
        <v>135429.69</v>
      </c>
      <c r="G87" s="17">
        <v>146880.15</v>
      </c>
      <c r="H87" s="17">
        <v>127167.09</v>
      </c>
      <c r="I87" s="17">
        <v>138237.61000000002</v>
      </c>
      <c r="J87" s="17">
        <v>127519.74000000002</v>
      </c>
      <c r="K87" s="18">
        <v>155750.39999999999</v>
      </c>
      <c r="L87" s="17">
        <v>139170.22</v>
      </c>
      <c r="M87" s="17">
        <v>180690.53999999998</v>
      </c>
      <c r="N87" s="5"/>
      <c r="O87" s="17">
        <f>SUM(B87:M87)</f>
        <v>1784474.49</v>
      </c>
      <c r="P87" s="20"/>
    </row>
    <row r="88" spans="1:16" ht="15.75" customHeight="1">
      <c r="A88" s="16" t="s">
        <v>19</v>
      </c>
      <c r="B88" s="17">
        <v>22820.5</v>
      </c>
      <c r="C88" s="17">
        <v>21337.06</v>
      </c>
      <c r="D88" s="17">
        <v>28422.400000000001</v>
      </c>
      <c r="E88" s="17">
        <v>17938.510000000002</v>
      </c>
      <c r="F88" s="17">
        <v>19347.099999999999</v>
      </c>
      <c r="G88" s="17">
        <v>20982.89</v>
      </c>
      <c r="H88" s="17">
        <v>18166.73</v>
      </c>
      <c r="I88" s="17">
        <v>19748.23</v>
      </c>
      <c r="J88" s="17">
        <v>18217.11</v>
      </c>
      <c r="K88" s="18">
        <v>22250.07</v>
      </c>
      <c r="L88" s="17">
        <v>19881.46</v>
      </c>
      <c r="M88" s="17">
        <v>25812.94</v>
      </c>
      <c r="N88" s="22"/>
      <c r="O88" s="17">
        <f>SUM(B88:M88)</f>
        <v>254925.00000000003</v>
      </c>
      <c r="P88" s="20"/>
    </row>
    <row r="89" spans="1:16" ht="15.75" customHeight="1">
      <c r="A89" s="11" t="s">
        <v>20</v>
      </c>
      <c r="B89" s="12">
        <v>7</v>
      </c>
      <c r="C89" s="12">
        <v>7</v>
      </c>
      <c r="D89" s="12">
        <v>7</v>
      </c>
      <c r="E89" s="12">
        <v>7</v>
      </c>
      <c r="F89" s="12">
        <v>1.4</v>
      </c>
      <c r="G89" s="12">
        <v>0</v>
      </c>
      <c r="H89" s="12">
        <v>0</v>
      </c>
      <c r="I89" s="12">
        <v>0</v>
      </c>
      <c r="J89" s="12">
        <v>0</v>
      </c>
      <c r="K89" s="13">
        <v>0</v>
      </c>
      <c r="L89" s="12">
        <v>0</v>
      </c>
      <c r="M89" s="12">
        <v>0</v>
      </c>
      <c r="N89" s="5"/>
      <c r="O89" s="12"/>
      <c r="P89" s="20"/>
    </row>
    <row r="90" spans="1:16" ht="15.75" customHeight="1">
      <c r="A90" s="16" t="s">
        <v>17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8">
        <v>0</v>
      </c>
      <c r="L90" s="17">
        <v>0</v>
      </c>
      <c r="M90" s="17">
        <v>0</v>
      </c>
      <c r="N90" s="23"/>
      <c r="O90" s="17">
        <f>SUM(B90:M90)</f>
        <v>0</v>
      </c>
      <c r="P90" s="20"/>
    </row>
    <row r="91" spans="1:16" ht="15.75" customHeight="1">
      <c r="A91" s="16" t="s">
        <v>18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8">
        <v>0</v>
      </c>
      <c r="L91" s="17">
        <v>0</v>
      </c>
      <c r="M91" s="17">
        <v>0</v>
      </c>
      <c r="N91" s="5"/>
      <c r="O91" s="17">
        <f>SUM(B91:M91)</f>
        <v>0</v>
      </c>
      <c r="P91" s="20"/>
    </row>
    <row r="92" spans="1:16" ht="15.75" customHeight="1">
      <c r="A92" s="16" t="s">
        <v>19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8">
        <v>0</v>
      </c>
      <c r="L92" s="17">
        <v>0</v>
      </c>
      <c r="M92" s="17">
        <v>0</v>
      </c>
      <c r="N92" s="21"/>
      <c r="O92" s="17">
        <f>SUM(B92:M92)</f>
        <v>0</v>
      </c>
      <c r="P92" s="20"/>
    </row>
    <row r="93" spans="1:16" ht="15.75" customHeight="1">
      <c r="A93" s="11" t="s">
        <v>21</v>
      </c>
      <c r="B93" s="12">
        <v>31</v>
      </c>
      <c r="C93" s="12">
        <v>31</v>
      </c>
      <c r="D93" s="12">
        <v>31</v>
      </c>
      <c r="E93" s="12">
        <v>31</v>
      </c>
      <c r="F93" s="12">
        <v>31</v>
      </c>
      <c r="G93" s="12">
        <v>31</v>
      </c>
      <c r="H93" s="12">
        <v>31</v>
      </c>
      <c r="I93" s="12">
        <v>32.200000000000003</v>
      </c>
      <c r="J93" s="12">
        <v>31.2</v>
      </c>
      <c r="K93" s="13">
        <v>31</v>
      </c>
      <c r="L93" s="12">
        <v>31</v>
      </c>
      <c r="M93" s="12">
        <v>31</v>
      </c>
      <c r="N93" s="23"/>
      <c r="O93" s="12"/>
      <c r="P93" s="20"/>
    </row>
    <row r="94" spans="1:16" ht="15.75" customHeight="1">
      <c r="A94" s="16" t="s">
        <v>17</v>
      </c>
      <c r="B94" s="17">
        <v>1000821.95</v>
      </c>
      <c r="C94" s="17">
        <v>980301.88</v>
      </c>
      <c r="D94" s="17">
        <v>1283336.28</v>
      </c>
      <c r="E94" s="17">
        <v>814820.4</v>
      </c>
      <c r="F94" s="17">
        <v>865399.34</v>
      </c>
      <c r="G94" s="17">
        <v>920799.89</v>
      </c>
      <c r="H94" s="17">
        <v>844278.81</v>
      </c>
      <c r="I94" s="17">
        <v>903705.47000000009</v>
      </c>
      <c r="J94" s="17">
        <v>808330.33000000007</v>
      </c>
      <c r="K94" s="18">
        <v>1038495.27</v>
      </c>
      <c r="L94" s="17">
        <v>938388.46</v>
      </c>
      <c r="M94" s="17">
        <v>1248250.6299999999</v>
      </c>
      <c r="N94" s="32"/>
      <c r="O94" s="17">
        <f t="shared" ref="O94:O100" si="4">SUM(B94:M94)</f>
        <v>11646928.710000001</v>
      </c>
      <c r="P94" s="20"/>
    </row>
    <row r="95" spans="1:16" ht="15.75" customHeight="1">
      <c r="A95" s="16" t="s">
        <v>18</v>
      </c>
      <c r="B95" s="17">
        <v>140115.07</v>
      </c>
      <c r="C95" s="17">
        <v>137242.26999999999</v>
      </c>
      <c r="D95" s="17">
        <v>179667.09</v>
      </c>
      <c r="E95" s="17">
        <v>114074.87999999999</v>
      </c>
      <c r="F95" s="17">
        <v>121155.92</v>
      </c>
      <c r="G95" s="17">
        <v>128911.98999999999</v>
      </c>
      <c r="H95" s="17">
        <v>118199.04000000001</v>
      </c>
      <c r="I95" s="17">
        <v>126518.77</v>
      </c>
      <c r="J95" s="17">
        <v>113166.24</v>
      </c>
      <c r="K95" s="18">
        <v>145389.35</v>
      </c>
      <c r="L95" s="17">
        <v>131374.39000000001</v>
      </c>
      <c r="M95" s="17">
        <v>174755.09999999998</v>
      </c>
      <c r="N95" s="29"/>
      <c r="O95" s="17">
        <f t="shared" si="4"/>
        <v>1630570.1100000003</v>
      </c>
      <c r="P95" s="20"/>
    </row>
    <row r="96" spans="1:16" ht="15.75" customHeight="1">
      <c r="A96" s="16" t="s">
        <v>19</v>
      </c>
      <c r="B96" s="17">
        <v>20016.439999999999</v>
      </c>
      <c r="C96" s="17">
        <v>19606.05</v>
      </c>
      <c r="D96" s="17">
        <v>25666.73</v>
      </c>
      <c r="E96" s="17">
        <v>16296.43</v>
      </c>
      <c r="F96" s="17">
        <v>17307.990000000002</v>
      </c>
      <c r="G96" s="17">
        <v>18416.009999999998</v>
      </c>
      <c r="H96" s="17">
        <v>16885.580000000002</v>
      </c>
      <c r="I96" s="17">
        <v>18074.11</v>
      </c>
      <c r="J96" s="17">
        <v>16166.609999999999</v>
      </c>
      <c r="K96" s="18">
        <v>20769.920000000002</v>
      </c>
      <c r="L96" s="17">
        <v>18767.769999999997</v>
      </c>
      <c r="M96" s="17">
        <v>24965.019999999997</v>
      </c>
      <c r="N96" s="19"/>
      <c r="O96" s="17">
        <f t="shared" si="4"/>
        <v>232938.65999999995</v>
      </c>
      <c r="P96" s="20"/>
    </row>
    <row r="97" spans="1:16" ht="15.75" customHeight="1">
      <c r="A97" s="11" t="s">
        <v>22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3">
        <v>0</v>
      </c>
      <c r="L97" s="13">
        <v>0</v>
      </c>
      <c r="M97" s="12">
        <v>0</v>
      </c>
      <c r="N97" s="21"/>
      <c r="O97" s="12"/>
      <c r="P97" s="20"/>
    </row>
    <row r="98" spans="1:16" ht="15.75" customHeight="1">
      <c r="A98" s="16" t="s">
        <v>17</v>
      </c>
      <c r="B98" s="17">
        <v>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8">
        <v>0</v>
      </c>
      <c r="L98" s="17">
        <v>0</v>
      </c>
      <c r="M98" s="17">
        <v>0</v>
      </c>
      <c r="N98" s="21"/>
      <c r="O98" s="17">
        <f t="shared" si="4"/>
        <v>0</v>
      </c>
      <c r="P98" s="20"/>
    </row>
    <row r="99" spans="1:16" ht="15.75" customHeight="1">
      <c r="A99" s="16" t="s">
        <v>18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8">
        <v>0</v>
      </c>
      <c r="L99" s="17">
        <v>0</v>
      </c>
      <c r="M99" s="17">
        <v>0</v>
      </c>
      <c r="N99" s="5"/>
      <c r="O99" s="17">
        <f t="shared" si="4"/>
        <v>0</v>
      </c>
      <c r="P99" s="20"/>
    </row>
    <row r="100" spans="1:16" ht="15.75" customHeight="1">
      <c r="A100" s="16" t="s">
        <v>19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8">
        <v>0</v>
      </c>
      <c r="L100" s="17">
        <v>0</v>
      </c>
      <c r="M100" s="17">
        <v>0</v>
      </c>
      <c r="N100" s="22"/>
      <c r="O100" s="17">
        <f t="shared" si="4"/>
        <v>0</v>
      </c>
      <c r="P100" s="20"/>
    </row>
    <row r="101" spans="1:16" ht="15.75" customHeight="1">
      <c r="A101" s="11" t="s">
        <v>23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0</v>
      </c>
      <c r="L101" s="13">
        <v>0</v>
      </c>
      <c r="M101" s="12">
        <v>0</v>
      </c>
      <c r="N101" s="5"/>
      <c r="O101" s="12"/>
      <c r="P101" s="20"/>
    </row>
    <row r="102" spans="1:16" ht="15.75" customHeight="1">
      <c r="A102" s="16" t="s">
        <v>17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8">
        <v>0</v>
      </c>
      <c r="L102" s="17">
        <v>0</v>
      </c>
      <c r="M102" s="17">
        <v>0</v>
      </c>
      <c r="N102" s="22"/>
      <c r="O102" s="17">
        <f>SUM(B102:M102)</f>
        <v>0</v>
      </c>
      <c r="P102" s="20"/>
    </row>
    <row r="103" spans="1:16" ht="15.75" customHeight="1">
      <c r="A103" s="16" t="s">
        <v>18</v>
      </c>
      <c r="B103" s="17">
        <v>0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8">
        <v>0</v>
      </c>
      <c r="L103" s="17">
        <v>0</v>
      </c>
      <c r="M103" s="17">
        <v>0</v>
      </c>
      <c r="N103" s="5"/>
      <c r="O103" s="17">
        <f>SUM(B103:M103)</f>
        <v>0</v>
      </c>
      <c r="P103" s="20"/>
    </row>
    <row r="104" spans="1:16" ht="15.75" customHeight="1">
      <c r="A104" s="16" t="s">
        <v>19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8">
        <v>0</v>
      </c>
      <c r="L104" s="17">
        <v>0</v>
      </c>
      <c r="M104" s="17">
        <v>0</v>
      </c>
      <c r="N104" s="23"/>
      <c r="O104" s="17">
        <f>SUM(B104:M104)</f>
        <v>0</v>
      </c>
      <c r="P104" s="20"/>
    </row>
    <row r="105" spans="1:16" ht="15.75" customHeight="1">
      <c r="A105" s="25" t="s">
        <v>24</v>
      </c>
      <c r="B105" s="12">
        <v>4</v>
      </c>
      <c r="C105" s="12">
        <v>4</v>
      </c>
      <c r="D105" s="12">
        <v>4</v>
      </c>
      <c r="E105" s="12">
        <v>4</v>
      </c>
      <c r="F105" s="12">
        <v>4</v>
      </c>
      <c r="G105" s="12">
        <v>4</v>
      </c>
      <c r="H105" s="12">
        <v>4</v>
      </c>
      <c r="I105" s="12">
        <v>4</v>
      </c>
      <c r="J105" s="12">
        <v>4</v>
      </c>
      <c r="K105" s="12">
        <v>4</v>
      </c>
      <c r="L105" s="13">
        <v>4</v>
      </c>
      <c r="M105" s="12">
        <v>4</v>
      </c>
      <c r="N105" s="5"/>
      <c r="O105" s="12"/>
      <c r="P105" s="20"/>
    </row>
    <row r="106" spans="1:16" ht="15.75" customHeight="1">
      <c r="A106" s="26" t="s">
        <v>17</v>
      </c>
      <c r="B106" s="17">
        <v>140203</v>
      </c>
      <c r="C106" s="17">
        <v>86550.5</v>
      </c>
      <c r="D106" s="17">
        <v>137783.5</v>
      </c>
      <c r="E106" s="17">
        <v>82104</v>
      </c>
      <c r="F106" s="17">
        <v>101955.5</v>
      </c>
      <c r="G106" s="17">
        <v>128344</v>
      </c>
      <c r="H106" s="17">
        <v>64057.5</v>
      </c>
      <c r="I106" s="17">
        <v>83706</v>
      </c>
      <c r="J106" s="17">
        <v>102525</v>
      </c>
      <c r="K106" s="17">
        <v>74007.5</v>
      </c>
      <c r="L106" s="17">
        <v>55684.5</v>
      </c>
      <c r="M106" s="17">
        <v>42396</v>
      </c>
      <c r="N106" s="5"/>
      <c r="O106" s="17">
        <f t="shared" ref="O106:O108" si="5">SUM(B106:M106)</f>
        <v>1099317</v>
      </c>
      <c r="P106" s="20"/>
    </row>
    <row r="107" spans="1:16" ht="15.75" customHeight="1">
      <c r="A107" s="16" t="s">
        <v>18</v>
      </c>
      <c r="B107" s="17">
        <v>19628.419999999998</v>
      </c>
      <c r="C107" s="17">
        <v>12117.07</v>
      </c>
      <c r="D107" s="17">
        <v>19289.689999999999</v>
      </c>
      <c r="E107" s="17">
        <v>11494.56</v>
      </c>
      <c r="F107" s="17">
        <v>14273.769999999999</v>
      </c>
      <c r="G107" s="17">
        <v>17968.16</v>
      </c>
      <c r="H107" s="17">
        <v>8968.0499999999993</v>
      </c>
      <c r="I107" s="17">
        <v>11718.84</v>
      </c>
      <c r="J107" s="17">
        <v>14353.5</v>
      </c>
      <c r="K107" s="17">
        <v>10361.049999999999</v>
      </c>
      <c r="L107" s="17">
        <v>7795.83</v>
      </c>
      <c r="M107" s="17">
        <v>5935.4400000000005</v>
      </c>
      <c r="N107" s="5"/>
      <c r="O107" s="17">
        <f t="shared" si="5"/>
        <v>153904.37999999998</v>
      </c>
      <c r="P107" s="20"/>
    </row>
    <row r="108" spans="1:16" ht="15.75" customHeight="1">
      <c r="A108" s="26" t="s">
        <v>19</v>
      </c>
      <c r="B108" s="17">
        <v>2804.06</v>
      </c>
      <c r="C108" s="17">
        <v>1731.0100000000002</v>
      </c>
      <c r="D108" s="17">
        <v>2755.67</v>
      </c>
      <c r="E108" s="17">
        <v>1642.08</v>
      </c>
      <c r="F108" s="17">
        <v>2039.1100000000001</v>
      </c>
      <c r="G108" s="17">
        <v>2566.88</v>
      </c>
      <c r="H108" s="17">
        <v>1281.1500000000001</v>
      </c>
      <c r="I108" s="17">
        <v>1674.1200000000001</v>
      </c>
      <c r="J108" s="17">
        <v>2050.5</v>
      </c>
      <c r="K108" s="17">
        <v>1480.15</v>
      </c>
      <c r="L108" s="17">
        <v>1113.69</v>
      </c>
      <c r="M108" s="17">
        <v>847.92</v>
      </c>
      <c r="N108" s="5"/>
      <c r="O108" s="17">
        <f t="shared" si="5"/>
        <v>21986.34</v>
      </c>
      <c r="P108" s="20"/>
    </row>
    <row r="109" spans="1:16" ht="15.75" customHeight="1">
      <c r="B109" s="12"/>
      <c r="C109" s="12"/>
      <c r="D109" s="12"/>
      <c r="E109" s="12"/>
      <c r="F109" s="12"/>
      <c r="G109" s="12"/>
      <c r="I109" s="12"/>
      <c r="J109" s="12"/>
      <c r="K109" s="13"/>
      <c r="L109" s="12"/>
      <c r="M109" s="12"/>
      <c r="N109" s="5"/>
      <c r="O109" s="12"/>
      <c r="P109" s="20"/>
    </row>
    <row r="110" spans="1:16" ht="15.75" customHeight="1">
      <c r="A110" s="10" t="s">
        <v>28</v>
      </c>
      <c r="B110" s="17"/>
      <c r="C110" s="17"/>
      <c r="D110" s="17"/>
      <c r="E110" s="17"/>
      <c r="F110" s="17"/>
      <c r="G110" s="17"/>
      <c r="I110" s="17"/>
      <c r="J110" s="17"/>
      <c r="K110" s="18"/>
      <c r="L110" s="17"/>
      <c r="M110" s="17"/>
      <c r="N110" s="23"/>
      <c r="O110" s="17"/>
      <c r="P110" s="20"/>
    </row>
    <row r="111" spans="1:16" ht="15.75" customHeight="1">
      <c r="A111" s="11" t="s">
        <v>16</v>
      </c>
      <c r="B111" s="12">
        <v>93</v>
      </c>
      <c r="C111" s="34">
        <v>93</v>
      </c>
      <c r="D111" s="12">
        <v>93</v>
      </c>
      <c r="E111" s="12">
        <v>99.24</v>
      </c>
      <c r="F111" s="12">
        <v>104</v>
      </c>
      <c r="G111" s="12">
        <v>103.6</v>
      </c>
      <c r="H111" s="12">
        <v>103</v>
      </c>
      <c r="I111" s="12">
        <v>102</v>
      </c>
      <c r="J111" s="12">
        <v>102</v>
      </c>
      <c r="K111" s="13">
        <v>101.2</v>
      </c>
      <c r="L111" s="12">
        <v>100.4</v>
      </c>
      <c r="M111" s="12">
        <v>100.4</v>
      </c>
      <c r="N111" s="5"/>
      <c r="O111" s="12"/>
      <c r="P111" s="20"/>
    </row>
    <row r="112" spans="1:16" ht="15.75" customHeight="1">
      <c r="A112" s="16" t="s">
        <v>17</v>
      </c>
      <c r="B112" s="17">
        <v>2534941.25</v>
      </c>
      <c r="C112" s="17">
        <v>2306449.89</v>
      </c>
      <c r="D112" s="17">
        <v>2435098.81</v>
      </c>
      <c r="E112" s="17">
        <v>1539210.6</v>
      </c>
      <c r="F112" s="17">
        <v>2162561.6199999996</v>
      </c>
      <c r="G112" s="17">
        <v>2016411.6400000001</v>
      </c>
      <c r="H112" s="17">
        <v>1619682.77</v>
      </c>
      <c r="I112" s="17">
        <v>2208062.73</v>
      </c>
      <c r="J112" s="17">
        <v>3166495.6699999995</v>
      </c>
      <c r="K112" s="18">
        <v>2391749.48</v>
      </c>
      <c r="L112" s="17">
        <v>2508704.5700000003</v>
      </c>
      <c r="M112" s="17">
        <v>2742769.42</v>
      </c>
      <c r="N112" s="21"/>
      <c r="O112" s="17">
        <f>SUM(B112:M112)</f>
        <v>27632138.449999996</v>
      </c>
      <c r="P112" s="20"/>
    </row>
    <row r="113" spans="1:16" ht="15.75" customHeight="1">
      <c r="A113" s="16" t="s">
        <v>18</v>
      </c>
      <c r="B113" s="17">
        <v>382434.50000000006</v>
      </c>
      <c r="C113" s="17">
        <v>330929.87999999995</v>
      </c>
      <c r="D113" s="17">
        <v>362192.91000000003</v>
      </c>
      <c r="E113" s="17">
        <v>240127.59</v>
      </c>
      <c r="F113" s="17">
        <v>329607.05</v>
      </c>
      <c r="G113" s="17">
        <v>336576.88</v>
      </c>
      <c r="H113" s="17">
        <v>280028.63999999996</v>
      </c>
      <c r="I113" s="17">
        <v>351677.03999999992</v>
      </c>
      <c r="J113" s="17">
        <v>491339.99000000005</v>
      </c>
      <c r="K113" s="18">
        <v>379049.48</v>
      </c>
      <c r="L113" s="17">
        <v>396276.35</v>
      </c>
      <c r="M113" s="17">
        <v>439298.08999999997</v>
      </c>
      <c r="O113" s="17">
        <f>SUM(B113:M113)</f>
        <v>4319538.4000000004</v>
      </c>
      <c r="P113" s="20"/>
    </row>
    <row r="114" spans="1:16" ht="15.75" customHeight="1">
      <c r="A114" s="16" t="s">
        <v>19</v>
      </c>
      <c r="B114" s="17">
        <v>50698.829999999994</v>
      </c>
      <c r="C114" s="17">
        <v>46129.009999999995</v>
      </c>
      <c r="D114" s="17">
        <v>48701.98</v>
      </c>
      <c r="E114" s="17">
        <v>30784.229999999996</v>
      </c>
      <c r="F114" s="17">
        <v>43251.24</v>
      </c>
      <c r="G114" s="17">
        <v>40328.239999999998</v>
      </c>
      <c r="H114" s="17">
        <v>32393.65</v>
      </c>
      <c r="I114" s="17">
        <v>44161.260000000009</v>
      </c>
      <c r="J114" s="17">
        <v>63329.919999999998</v>
      </c>
      <c r="K114" s="18">
        <v>47835.01</v>
      </c>
      <c r="L114" s="17">
        <v>50174.09</v>
      </c>
      <c r="M114" s="17">
        <v>54855.42</v>
      </c>
      <c r="O114" s="17">
        <f>SUM(B114:M114)</f>
        <v>552642.88</v>
      </c>
      <c r="P114" s="20"/>
    </row>
    <row r="115" spans="1:16" ht="15.75" customHeight="1">
      <c r="A115" s="11" t="s">
        <v>20</v>
      </c>
      <c r="B115" s="12">
        <v>14</v>
      </c>
      <c r="C115" s="12">
        <v>14</v>
      </c>
      <c r="D115" s="12">
        <v>14</v>
      </c>
      <c r="E115" s="12">
        <v>14</v>
      </c>
      <c r="F115" s="12">
        <v>14</v>
      </c>
      <c r="G115" s="12">
        <v>14</v>
      </c>
      <c r="H115" s="12">
        <v>14</v>
      </c>
      <c r="I115" s="12">
        <v>14</v>
      </c>
      <c r="J115" s="12">
        <v>14</v>
      </c>
      <c r="K115" s="13">
        <v>14</v>
      </c>
      <c r="L115" s="12">
        <v>14</v>
      </c>
      <c r="M115" s="12">
        <v>14</v>
      </c>
      <c r="O115" s="12"/>
      <c r="P115" s="20"/>
    </row>
    <row r="116" spans="1:16" ht="15.75" customHeight="1">
      <c r="A116" s="16" t="s">
        <v>17</v>
      </c>
      <c r="B116" s="17">
        <v>52638</v>
      </c>
      <c r="C116" s="17">
        <v>49127</v>
      </c>
      <c r="D116" s="17">
        <v>52967</v>
      </c>
      <c r="E116" s="17">
        <v>57038</v>
      </c>
      <c r="F116" s="17">
        <v>49696</v>
      </c>
      <c r="G116" s="17">
        <v>51628</v>
      </c>
      <c r="H116" s="17">
        <v>57767</v>
      </c>
      <c r="I116" s="17">
        <v>54340</v>
      </c>
      <c r="J116" s="17">
        <v>62079</v>
      </c>
      <c r="K116" s="18">
        <v>61691</v>
      </c>
      <c r="L116" s="17">
        <v>61392</v>
      </c>
      <c r="M116" s="17">
        <v>61635</v>
      </c>
      <c r="O116" s="17">
        <f>SUM(B116:M116)</f>
        <v>671998</v>
      </c>
      <c r="P116" s="20"/>
    </row>
    <row r="117" spans="1:16" ht="15.75" customHeight="1">
      <c r="A117" s="16" t="s">
        <v>18</v>
      </c>
      <c r="B117" s="17">
        <v>7369.3200000000015</v>
      </c>
      <c r="C117" s="17">
        <v>6877.78</v>
      </c>
      <c r="D117" s="17">
        <v>7415.3799999999992</v>
      </c>
      <c r="E117" s="17">
        <v>7985.32</v>
      </c>
      <c r="F117" s="17">
        <v>6957.4400000000005</v>
      </c>
      <c r="G117" s="17">
        <v>7227.9199999999992</v>
      </c>
      <c r="H117" s="17">
        <v>8087.3799999999992</v>
      </c>
      <c r="I117" s="17">
        <v>7607.5999999999995</v>
      </c>
      <c r="J117" s="17">
        <v>8691.06</v>
      </c>
      <c r="K117" s="18">
        <v>8636.74</v>
      </c>
      <c r="L117" s="17">
        <v>8594.8799999999992</v>
      </c>
      <c r="M117" s="17">
        <v>8628.9</v>
      </c>
      <c r="O117" s="17">
        <f>SUM(B117:M117)</f>
        <v>94079.72</v>
      </c>
      <c r="P117" s="20"/>
    </row>
    <row r="118" spans="1:16" ht="15.75" customHeight="1">
      <c r="A118" s="16" t="s">
        <v>19</v>
      </c>
      <c r="B118" s="17">
        <v>1052.76</v>
      </c>
      <c r="C118" s="17">
        <v>982.54</v>
      </c>
      <c r="D118" s="17">
        <v>1059.3400000000001</v>
      </c>
      <c r="E118" s="17">
        <v>1140.76</v>
      </c>
      <c r="F118" s="17">
        <v>993.92000000000007</v>
      </c>
      <c r="G118" s="17">
        <v>1032.56</v>
      </c>
      <c r="H118" s="17">
        <v>1155.3399999999999</v>
      </c>
      <c r="I118" s="17">
        <v>1086.8000000000002</v>
      </c>
      <c r="J118" s="17">
        <v>1241.58</v>
      </c>
      <c r="K118" s="18">
        <v>1233.82</v>
      </c>
      <c r="L118" s="17">
        <v>1227.8399999999999</v>
      </c>
      <c r="M118" s="17">
        <v>1232.7</v>
      </c>
      <c r="O118" s="17">
        <f>SUM(B118:M118)</f>
        <v>13439.960000000001</v>
      </c>
      <c r="P118" s="20"/>
    </row>
    <row r="119" spans="1:16" ht="15.75" customHeight="1">
      <c r="A119" s="11" t="s">
        <v>21</v>
      </c>
      <c r="B119" s="12">
        <v>68</v>
      </c>
      <c r="C119" s="12">
        <v>68</v>
      </c>
      <c r="D119" s="12">
        <v>68</v>
      </c>
      <c r="E119" s="12">
        <v>68</v>
      </c>
      <c r="F119" s="12">
        <v>68</v>
      </c>
      <c r="G119" s="12">
        <v>67.599999999999994</v>
      </c>
      <c r="H119" s="12">
        <v>67</v>
      </c>
      <c r="I119" s="12">
        <v>66</v>
      </c>
      <c r="J119" s="12">
        <v>66</v>
      </c>
      <c r="K119" s="13">
        <v>65.2</v>
      </c>
      <c r="L119" s="12">
        <v>64.400000000000006</v>
      </c>
      <c r="M119" s="12">
        <v>64.400000000000006</v>
      </c>
      <c r="O119" s="12"/>
      <c r="P119" s="20"/>
    </row>
    <row r="120" spans="1:16" ht="15.75" customHeight="1">
      <c r="A120" s="16" t="s">
        <v>17</v>
      </c>
      <c r="B120" s="17">
        <v>2368020.75</v>
      </c>
      <c r="C120" s="17">
        <v>2208155.39</v>
      </c>
      <c r="D120" s="17">
        <v>2288453.31</v>
      </c>
      <c r="E120" s="17">
        <v>1366323.29</v>
      </c>
      <c r="F120" s="17">
        <v>1949648.59</v>
      </c>
      <c r="G120" s="17">
        <v>1739078.9</v>
      </c>
      <c r="H120" s="17">
        <v>1370874.6400000001</v>
      </c>
      <c r="I120" s="17">
        <v>1980857.54</v>
      </c>
      <c r="J120" s="17">
        <v>2914687.46</v>
      </c>
      <c r="K120" s="18">
        <v>2139987.25</v>
      </c>
      <c r="L120" s="17">
        <v>2300217.21</v>
      </c>
      <c r="M120" s="17">
        <v>2501084.86</v>
      </c>
      <c r="O120" s="17">
        <f t="shared" ref="O120:O126" si="6">SUM(B120:M120)</f>
        <v>25127389.190000005</v>
      </c>
      <c r="P120" s="20"/>
    </row>
    <row r="121" spans="1:16" ht="15.75" customHeight="1">
      <c r="A121" s="16" t="s">
        <v>18</v>
      </c>
      <c r="B121" s="17">
        <v>331522.91000000003</v>
      </c>
      <c r="C121" s="17">
        <v>309141.76000000001</v>
      </c>
      <c r="D121" s="17">
        <v>320383.47000000003</v>
      </c>
      <c r="E121" s="17">
        <v>191285.27</v>
      </c>
      <c r="F121" s="17">
        <v>272950.81</v>
      </c>
      <c r="G121" s="17">
        <v>243471.05000000002</v>
      </c>
      <c r="H121" s="17">
        <v>191922.46</v>
      </c>
      <c r="I121" s="17">
        <v>277320.07</v>
      </c>
      <c r="J121" s="17">
        <v>408056.26</v>
      </c>
      <c r="K121" s="18">
        <v>299598.23</v>
      </c>
      <c r="L121" s="17">
        <v>322030.42</v>
      </c>
      <c r="M121" s="17">
        <v>350151.9</v>
      </c>
      <c r="O121" s="17">
        <f t="shared" si="6"/>
        <v>3517834.6100000003</v>
      </c>
      <c r="P121" s="20"/>
    </row>
    <row r="122" spans="1:16" ht="15.75" customHeight="1">
      <c r="A122" s="16" t="s">
        <v>19</v>
      </c>
      <c r="B122" s="17">
        <v>47360.42</v>
      </c>
      <c r="C122" s="17">
        <v>44163.12</v>
      </c>
      <c r="D122" s="17">
        <v>45769.07</v>
      </c>
      <c r="E122" s="17">
        <v>27326.479999999996</v>
      </c>
      <c r="F122" s="17">
        <v>38992.980000000003</v>
      </c>
      <c r="G122" s="17">
        <v>34781.58</v>
      </c>
      <c r="H122" s="17">
        <v>27417.500000000004</v>
      </c>
      <c r="I122" s="17">
        <v>39617.160000000003</v>
      </c>
      <c r="J122" s="17">
        <v>58293.759999999995</v>
      </c>
      <c r="K122" s="18">
        <v>42799.76</v>
      </c>
      <c r="L122" s="17">
        <v>46004.35</v>
      </c>
      <c r="M122" s="17">
        <v>50021.72</v>
      </c>
      <c r="O122" s="17">
        <f t="shared" si="6"/>
        <v>502547.9</v>
      </c>
      <c r="P122" s="20"/>
    </row>
    <row r="123" spans="1:16" ht="15.75" customHeight="1">
      <c r="A123" s="11" t="s">
        <v>22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3">
        <v>0</v>
      </c>
      <c r="L123" s="13">
        <v>0</v>
      </c>
      <c r="M123" s="12">
        <v>0</v>
      </c>
      <c r="O123" s="12"/>
      <c r="P123" s="20"/>
    </row>
    <row r="124" spans="1:16" ht="15.75" customHeight="1">
      <c r="A124" s="16" t="s">
        <v>17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8">
        <v>0</v>
      </c>
      <c r="L124" s="17">
        <v>0</v>
      </c>
      <c r="M124" s="17">
        <v>0</v>
      </c>
      <c r="O124" s="17">
        <f t="shared" si="6"/>
        <v>0</v>
      </c>
      <c r="P124" s="20"/>
    </row>
    <row r="125" spans="1:16" ht="15.75" customHeight="1">
      <c r="A125" s="16" t="s">
        <v>18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8">
        <v>0</v>
      </c>
      <c r="L125" s="17">
        <v>0</v>
      </c>
      <c r="M125" s="17">
        <v>0</v>
      </c>
      <c r="O125" s="17">
        <f t="shared" si="6"/>
        <v>0</v>
      </c>
      <c r="P125" s="20"/>
    </row>
    <row r="126" spans="1:16" ht="15.75" customHeight="1">
      <c r="A126" s="16" t="s">
        <v>19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8">
        <v>0</v>
      </c>
      <c r="L126" s="17">
        <v>0</v>
      </c>
      <c r="M126" s="17">
        <v>0</v>
      </c>
      <c r="O126" s="17">
        <f t="shared" si="6"/>
        <v>0</v>
      </c>
      <c r="P126" s="20"/>
    </row>
    <row r="127" spans="1:16" ht="15.75" customHeight="1">
      <c r="A127" s="11" t="s">
        <v>23</v>
      </c>
      <c r="B127" s="12">
        <v>8</v>
      </c>
      <c r="C127" s="12">
        <v>8</v>
      </c>
      <c r="D127" s="12">
        <v>8</v>
      </c>
      <c r="E127" s="12">
        <v>14</v>
      </c>
      <c r="F127" s="12">
        <v>17</v>
      </c>
      <c r="G127" s="12">
        <v>17</v>
      </c>
      <c r="H127" s="12">
        <v>17</v>
      </c>
      <c r="I127" s="12">
        <v>17</v>
      </c>
      <c r="J127" s="12">
        <v>17</v>
      </c>
      <c r="K127" s="13">
        <v>17</v>
      </c>
      <c r="L127" s="12">
        <v>17</v>
      </c>
      <c r="M127" s="12">
        <v>17</v>
      </c>
      <c r="O127" s="12"/>
      <c r="P127" s="20"/>
    </row>
    <row r="128" spans="1:16" ht="15.75" customHeight="1">
      <c r="A128" s="16" t="s">
        <v>17</v>
      </c>
      <c r="B128" s="17">
        <v>81008</v>
      </c>
      <c r="C128" s="17">
        <v>23608.5</v>
      </c>
      <c r="D128" s="17">
        <v>62585.5</v>
      </c>
      <c r="E128" s="17">
        <v>72465</v>
      </c>
      <c r="F128" s="17">
        <v>78965.98000000001</v>
      </c>
      <c r="G128" s="17">
        <v>159644.83000000002</v>
      </c>
      <c r="H128" s="17">
        <v>156685.38999999998</v>
      </c>
      <c r="I128" s="17">
        <v>125141.86000000002</v>
      </c>
      <c r="J128" s="17">
        <v>141266.38</v>
      </c>
      <c r="K128" s="18">
        <v>130013.39</v>
      </c>
      <c r="L128" s="17">
        <v>132522.68</v>
      </c>
      <c r="M128" s="17">
        <v>162677.45000000001</v>
      </c>
      <c r="O128" s="17">
        <f>SUM(B128:M128)</f>
        <v>1326584.96</v>
      </c>
      <c r="P128" s="20"/>
    </row>
    <row r="129" spans="1:16" ht="15.75" customHeight="1">
      <c r="A129" s="16" t="s">
        <v>18</v>
      </c>
      <c r="B129" s="17">
        <v>38883.839999999997</v>
      </c>
      <c r="C129" s="17">
        <v>11332.08</v>
      </c>
      <c r="D129" s="17">
        <v>30041.040000000001</v>
      </c>
      <c r="E129" s="17">
        <v>34783.199999999997</v>
      </c>
      <c r="F129" s="17">
        <v>37903.659999999996</v>
      </c>
      <c r="G129" s="17">
        <v>76629.52</v>
      </c>
      <c r="H129" s="17">
        <v>75208.989999999991</v>
      </c>
      <c r="I129" s="17">
        <v>60068.090000000004</v>
      </c>
      <c r="J129" s="17">
        <v>67807.87</v>
      </c>
      <c r="K129" s="18">
        <v>62406.420000000006</v>
      </c>
      <c r="L129" s="17">
        <v>63610.87999999999</v>
      </c>
      <c r="M129" s="17">
        <v>78085.179999999993</v>
      </c>
      <c r="O129" s="17">
        <f>SUM(B129:M129)</f>
        <v>636760.77</v>
      </c>
      <c r="P129" s="20"/>
    </row>
    <row r="130" spans="1:16" ht="15.75" customHeight="1">
      <c r="A130" s="16" t="s">
        <v>19</v>
      </c>
      <c r="B130" s="17">
        <v>1620.16</v>
      </c>
      <c r="C130" s="17">
        <v>472.17</v>
      </c>
      <c r="D130" s="17">
        <v>1251.7099999999998</v>
      </c>
      <c r="E130" s="17">
        <v>1449.3</v>
      </c>
      <c r="F130" s="17">
        <v>1579.32</v>
      </c>
      <c r="G130" s="17">
        <v>3192.89</v>
      </c>
      <c r="H130" s="17">
        <v>3133.7</v>
      </c>
      <c r="I130" s="17">
        <v>2502.83</v>
      </c>
      <c r="J130" s="17">
        <v>2825.33</v>
      </c>
      <c r="K130" s="18">
        <v>2600.2700000000004</v>
      </c>
      <c r="L130" s="17">
        <v>2650.45</v>
      </c>
      <c r="M130" s="17">
        <v>3253.55</v>
      </c>
      <c r="O130" s="17">
        <f>SUM(B130:M130)</f>
        <v>26531.68</v>
      </c>
      <c r="P130" s="20"/>
    </row>
    <row r="131" spans="1:16" ht="15.75" customHeight="1">
      <c r="A131" s="25" t="s">
        <v>24</v>
      </c>
      <c r="B131" s="12">
        <v>3</v>
      </c>
      <c r="C131" s="12">
        <v>3</v>
      </c>
      <c r="D131" s="12">
        <v>3</v>
      </c>
      <c r="E131" s="12">
        <v>4.0333333333333332</v>
      </c>
      <c r="F131" s="12">
        <v>5</v>
      </c>
      <c r="G131" s="12">
        <v>5</v>
      </c>
      <c r="H131" s="12">
        <v>5</v>
      </c>
      <c r="I131" s="12">
        <v>5</v>
      </c>
      <c r="J131" s="12">
        <v>5</v>
      </c>
      <c r="K131" s="12">
        <v>5</v>
      </c>
      <c r="L131" s="12">
        <v>5</v>
      </c>
      <c r="M131" s="12">
        <v>5</v>
      </c>
      <c r="O131" s="17"/>
      <c r="P131" s="20"/>
    </row>
    <row r="132" spans="1:16" ht="15.75" customHeight="1">
      <c r="A132" s="26" t="s">
        <v>17</v>
      </c>
      <c r="B132" s="17">
        <v>33274.5</v>
      </c>
      <c r="C132" s="17">
        <v>25559</v>
      </c>
      <c r="D132" s="17">
        <v>31093</v>
      </c>
      <c r="E132" s="17">
        <v>43384.31</v>
      </c>
      <c r="F132" s="17">
        <v>84251.05</v>
      </c>
      <c r="G132" s="17">
        <v>66059.91</v>
      </c>
      <c r="H132" s="17">
        <v>34355.74</v>
      </c>
      <c r="I132" s="17">
        <v>47723.329999999994</v>
      </c>
      <c r="J132" s="17">
        <v>48462.83</v>
      </c>
      <c r="K132" s="17">
        <v>60057.840000000004</v>
      </c>
      <c r="L132" s="17">
        <v>14572.68</v>
      </c>
      <c r="M132" s="31">
        <v>17372.11</v>
      </c>
      <c r="O132" s="17">
        <f t="shared" ref="O132:O134" si="7">SUM(B132:M132)</f>
        <v>506166.30000000005</v>
      </c>
      <c r="P132" s="20"/>
    </row>
    <row r="133" spans="1:16" ht="15.75" customHeight="1">
      <c r="A133" s="16" t="s">
        <v>18</v>
      </c>
      <c r="B133" s="17">
        <v>4658.43</v>
      </c>
      <c r="C133" s="17">
        <v>3578.26</v>
      </c>
      <c r="D133" s="17">
        <v>4353.0199999999995</v>
      </c>
      <c r="E133" s="17">
        <v>6073.7999999999993</v>
      </c>
      <c r="F133" s="17">
        <v>11795.14</v>
      </c>
      <c r="G133" s="17">
        <v>9248.39</v>
      </c>
      <c r="H133" s="17">
        <v>4809.8100000000004</v>
      </c>
      <c r="I133" s="17">
        <v>6681.2800000000007</v>
      </c>
      <c r="J133" s="17">
        <v>6784.8</v>
      </c>
      <c r="K133" s="17">
        <v>8408.09</v>
      </c>
      <c r="L133" s="17">
        <v>2040.17</v>
      </c>
      <c r="M133" s="31">
        <v>2432.11</v>
      </c>
      <c r="O133" s="17">
        <f t="shared" si="7"/>
        <v>70863.299999999988</v>
      </c>
      <c r="P133" s="20"/>
    </row>
    <row r="134" spans="1:16" ht="15.75" customHeight="1">
      <c r="A134" s="26" t="s">
        <v>19</v>
      </c>
      <c r="B134" s="17">
        <v>665.49</v>
      </c>
      <c r="C134" s="17">
        <v>511.17999999999995</v>
      </c>
      <c r="D134" s="17">
        <v>621.86</v>
      </c>
      <c r="E134" s="17">
        <v>867.68999999999994</v>
      </c>
      <c r="F134" s="17">
        <v>1685.02</v>
      </c>
      <c r="G134" s="17">
        <v>1321.21</v>
      </c>
      <c r="H134" s="17">
        <v>687.11</v>
      </c>
      <c r="I134" s="17">
        <v>954.47</v>
      </c>
      <c r="J134" s="17">
        <v>969.25</v>
      </c>
      <c r="K134" s="17">
        <v>1201.1600000000001</v>
      </c>
      <c r="L134" s="17">
        <v>291.45000000000005</v>
      </c>
      <c r="M134" s="31">
        <v>347.45</v>
      </c>
      <c r="O134" s="17">
        <f t="shared" si="7"/>
        <v>10123.34</v>
      </c>
      <c r="P134" s="20"/>
    </row>
    <row r="135" spans="1:16" ht="15.75" customHeight="1">
      <c r="B135" s="17"/>
      <c r="C135" s="17"/>
      <c r="D135" s="17"/>
      <c r="E135" s="17"/>
      <c r="F135" s="17"/>
      <c r="G135" s="17"/>
      <c r="I135" s="17"/>
      <c r="J135" s="17"/>
      <c r="K135" s="18"/>
      <c r="L135" s="18"/>
      <c r="M135" s="17"/>
      <c r="O135" s="17"/>
      <c r="P135" s="20"/>
    </row>
    <row r="136" spans="1:16" ht="15.75" customHeight="1">
      <c r="A136" s="10" t="s">
        <v>29</v>
      </c>
      <c r="B136" s="12"/>
      <c r="C136" s="12"/>
      <c r="D136" s="12"/>
      <c r="E136" s="12"/>
      <c r="F136" s="12"/>
      <c r="G136" s="12"/>
      <c r="I136" s="12"/>
      <c r="J136" s="12"/>
      <c r="K136" s="13"/>
      <c r="L136" s="12"/>
      <c r="M136" s="12"/>
      <c r="O136" s="12"/>
      <c r="P136" s="20"/>
    </row>
    <row r="137" spans="1:16" ht="15.75" customHeight="1">
      <c r="A137" s="11" t="s">
        <v>16</v>
      </c>
      <c r="B137" s="12">
        <v>84</v>
      </c>
      <c r="C137" s="34">
        <v>84</v>
      </c>
      <c r="D137" s="12">
        <v>84</v>
      </c>
      <c r="E137" s="12">
        <v>84</v>
      </c>
      <c r="F137" s="12">
        <v>84</v>
      </c>
      <c r="G137" s="12">
        <v>84</v>
      </c>
      <c r="H137" s="12">
        <v>84</v>
      </c>
      <c r="I137" s="12">
        <v>84</v>
      </c>
      <c r="J137" s="12">
        <v>74.599999999999994</v>
      </c>
      <c r="K137" s="13">
        <v>72</v>
      </c>
      <c r="L137" s="12">
        <v>72</v>
      </c>
      <c r="M137" s="12">
        <v>72</v>
      </c>
      <c r="O137" s="12"/>
      <c r="P137" s="20"/>
    </row>
    <row r="138" spans="1:16" ht="15.75" customHeight="1">
      <c r="A138" s="16" t="s">
        <v>17</v>
      </c>
      <c r="B138" s="17">
        <v>3772258.38</v>
      </c>
      <c r="C138" s="17">
        <v>3561987.36</v>
      </c>
      <c r="D138" s="17">
        <v>3883646.0699999994</v>
      </c>
      <c r="E138" s="17">
        <v>3190848.9</v>
      </c>
      <c r="F138" s="17">
        <v>3170846.88</v>
      </c>
      <c r="G138" s="17">
        <v>3231778.1</v>
      </c>
      <c r="H138" s="17">
        <v>2651972.96</v>
      </c>
      <c r="I138" s="17">
        <v>2607448.62</v>
      </c>
      <c r="J138" s="17">
        <v>2988812.31</v>
      </c>
      <c r="K138" s="18">
        <v>3503359.5599999996</v>
      </c>
      <c r="L138" s="17">
        <v>3162793.01</v>
      </c>
      <c r="M138" s="17">
        <v>2678194.35</v>
      </c>
      <c r="O138" s="17">
        <f>SUM(B138:M138)</f>
        <v>38403946.5</v>
      </c>
      <c r="P138" s="20"/>
    </row>
    <row r="139" spans="1:16" ht="15.75" customHeight="1">
      <c r="A139" s="16" t="s">
        <v>18</v>
      </c>
      <c r="B139" s="17">
        <v>528116.18999999994</v>
      </c>
      <c r="C139" s="17">
        <v>498678.23999999993</v>
      </c>
      <c r="D139" s="17">
        <v>543710.46</v>
      </c>
      <c r="E139" s="17">
        <v>446718.85</v>
      </c>
      <c r="F139" s="17">
        <v>443918.56000000006</v>
      </c>
      <c r="G139" s="17">
        <v>452448.94</v>
      </c>
      <c r="H139" s="17">
        <v>371276.22</v>
      </c>
      <c r="I139" s="17">
        <v>365042.8</v>
      </c>
      <c r="J139" s="17">
        <v>418433.71</v>
      </c>
      <c r="K139" s="18">
        <v>490470.33</v>
      </c>
      <c r="L139" s="17">
        <v>442791.00999999995</v>
      </c>
      <c r="M139" s="17">
        <v>374947.21</v>
      </c>
      <c r="O139" s="17">
        <f>SUM(B139:M139)</f>
        <v>5376552.5199999996</v>
      </c>
      <c r="P139" s="20"/>
    </row>
    <row r="140" spans="1:16" ht="15.75" customHeight="1">
      <c r="A140" s="16" t="s">
        <v>19</v>
      </c>
      <c r="B140" s="17">
        <v>75445.170000000013</v>
      </c>
      <c r="C140" s="17">
        <v>71239.75</v>
      </c>
      <c r="D140" s="17">
        <v>77672.920000000013</v>
      </c>
      <c r="E140" s="17">
        <v>63816.979999999989</v>
      </c>
      <c r="F140" s="17">
        <v>63416.94</v>
      </c>
      <c r="G140" s="17">
        <v>64635.58</v>
      </c>
      <c r="H140" s="17">
        <v>53039.460000000006</v>
      </c>
      <c r="I140" s="17">
        <v>52148.969999999994</v>
      </c>
      <c r="J140" s="17">
        <v>59776.24</v>
      </c>
      <c r="K140" s="18">
        <v>70067.17</v>
      </c>
      <c r="L140" s="17">
        <v>63255.869999999995</v>
      </c>
      <c r="M140" s="17">
        <v>53563.89</v>
      </c>
      <c r="O140" s="17">
        <f>SUM(B140:M140)</f>
        <v>768078.94000000006</v>
      </c>
      <c r="P140" s="20"/>
    </row>
    <row r="141" spans="1:16" ht="15.75" customHeight="1">
      <c r="A141" s="11" t="s">
        <v>20</v>
      </c>
      <c r="B141" s="12">
        <v>12</v>
      </c>
      <c r="C141" s="12">
        <v>12</v>
      </c>
      <c r="D141" s="12">
        <v>12</v>
      </c>
      <c r="E141" s="12">
        <v>12</v>
      </c>
      <c r="F141" s="12">
        <v>12</v>
      </c>
      <c r="G141" s="12">
        <v>12</v>
      </c>
      <c r="H141" s="12">
        <v>12</v>
      </c>
      <c r="I141" s="12">
        <v>12</v>
      </c>
      <c r="J141" s="12">
        <v>9.6</v>
      </c>
      <c r="K141" s="13">
        <v>9</v>
      </c>
      <c r="L141" s="12">
        <v>9</v>
      </c>
      <c r="M141" s="12">
        <v>9</v>
      </c>
      <c r="O141" s="12"/>
      <c r="P141" s="20"/>
    </row>
    <row r="142" spans="1:16" ht="15.75" customHeight="1">
      <c r="A142" s="16" t="s">
        <v>17</v>
      </c>
      <c r="B142" s="17">
        <v>122851</v>
      </c>
      <c r="C142" s="17">
        <v>115551</v>
      </c>
      <c r="D142" s="17">
        <v>104270</v>
      </c>
      <c r="E142" s="17">
        <v>99396</v>
      </c>
      <c r="F142" s="17">
        <v>90658</v>
      </c>
      <c r="G142" s="17">
        <v>93472</v>
      </c>
      <c r="H142" s="17">
        <v>99264</v>
      </c>
      <c r="I142" s="17">
        <v>89053</v>
      </c>
      <c r="J142" s="17">
        <v>98405.02</v>
      </c>
      <c r="K142" s="18">
        <v>85787</v>
      </c>
      <c r="L142" s="17">
        <v>90850</v>
      </c>
      <c r="M142" s="17">
        <v>94107</v>
      </c>
      <c r="O142" s="17">
        <f>SUM(B142:M142)</f>
        <v>1183664.02</v>
      </c>
      <c r="P142" s="20"/>
    </row>
    <row r="143" spans="1:16" ht="15.75" customHeight="1">
      <c r="A143" s="16" t="s">
        <v>18</v>
      </c>
      <c r="B143" s="17">
        <v>17199.14</v>
      </c>
      <c r="C143" s="17">
        <v>16177.14</v>
      </c>
      <c r="D143" s="17">
        <v>14597.8</v>
      </c>
      <c r="E143" s="17">
        <v>13915.44</v>
      </c>
      <c r="F143" s="17">
        <v>12692.12</v>
      </c>
      <c r="G143" s="17">
        <v>13086.079999999998</v>
      </c>
      <c r="H143" s="17">
        <v>13896.960000000001</v>
      </c>
      <c r="I143" s="17">
        <v>12467.419999999998</v>
      </c>
      <c r="J143" s="17">
        <v>13776.699999999999</v>
      </c>
      <c r="K143" s="18">
        <v>12010.18</v>
      </c>
      <c r="L143" s="17">
        <v>12719</v>
      </c>
      <c r="M143" s="17">
        <v>13174.98</v>
      </c>
      <c r="O143" s="17">
        <f>SUM(B143:M143)</f>
        <v>165712.96000000002</v>
      </c>
      <c r="P143" s="20"/>
    </row>
    <row r="144" spans="1:16" ht="15.75" customHeight="1">
      <c r="A144" s="16" t="s">
        <v>19</v>
      </c>
      <c r="B144" s="17">
        <v>2457.02</v>
      </c>
      <c r="C144" s="17">
        <v>2311.0200000000004</v>
      </c>
      <c r="D144" s="17">
        <v>2085.4</v>
      </c>
      <c r="E144" s="17">
        <v>1987.92</v>
      </c>
      <c r="F144" s="17">
        <v>1813.1599999999999</v>
      </c>
      <c r="G144" s="17">
        <v>1869.44</v>
      </c>
      <c r="H144" s="17">
        <v>1985.28</v>
      </c>
      <c r="I144" s="17">
        <v>1781.0600000000002</v>
      </c>
      <c r="J144" s="17">
        <v>1968.1</v>
      </c>
      <c r="K144" s="18">
        <v>1715.74</v>
      </c>
      <c r="L144" s="17">
        <v>1817</v>
      </c>
      <c r="M144" s="17">
        <v>1882.1399999999999</v>
      </c>
      <c r="O144" s="17">
        <f>SUM(B144:M144)</f>
        <v>23673.280000000002</v>
      </c>
      <c r="P144" s="20"/>
    </row>
    <row r="145" spans="1:16" ht="15.75" customHeight="1">
      <c r="A145" s="11" t="s">
        <v>21</v>
      </c>
      <c r="B145" s="12">
        <v>69</v>
      </c>
      <c r="C145" s="12">
        <v>69</v>
      </c>
      <c r="D145" s="12">
        <v>69</v>
      </c>
      <c r="E145" s="12">
        <v>69</v>
      </c>
      <c r="F145" s="12">
        <v>69</v>
      </c>
      <c r="G145" s="12">
        <v>69</v>
      </c>
      <c r="H145" s="12">
        <v>69</v>
      </c>
      <c r="I145" s="12">
        <v>69</v>
      </c>
      <c r="J145" s="12">
        <v>62</v>
      </c>
      <c r="K145" s="13">
        <v>60</v>
      </c>
      <c r="L145" s="12">
        <v>60</v>
      </c>
      <c r="M145" s="12">
        <v>60</v>
      </c>
      <c r="O145" s="12"/>
      <c r="P145" s="20"/>
    </row>
    <row r="146" spans="1:16" ht="15.75" customHeight="1">
      <c r="A146" s="16" t="s">
        <v>17</v>
      </c>
      <c r="B146" s="17">
        <v>3537968.81</v>
      </c>
      <c r="C146" s="17">
        <v>3317549.0700000003</v>
      </c>
      <c r="D146" s="17">
        <v>3673277.46</v>
      </c>
      <c r="E146" s="17">
        <v>2906586.62</v>
      </c>
      <c r="F146" s="17">
        <v>3009722.56</v>
      </c>
      <c r="G146" s="17">
        <v>3036953.57</v>
      </c>
      <c r="H146" s="17">
        <v>2409840.4500000002</v>
      </c>
      <c r="I146" s="17">
        <v>2374079.9700000002</v>
      </c>
      <c r="J146" s="17">
        <v>2787158.1799999997</v>
      </c>
      <c r="K146" s="18">
        <v>3338553.3499999996</v>
      </c>
      <c r="L146" s="17">
        <v>2933367.13</v>
      </c>
      <c r="M146" s="17">
        <v>2461290.6500000004</v>
      </c>
      <c r="O146" s="17">
        <f t="shared" ref="O146:O156" si="8">SUM(B146:M146)</f>
        <v>35786347.82</v>
      </c>
      <c r="P146" s="20"/>
    </row>
    <row r="147" spans="1:16" ht="15.75" customHeight="1">
      <c r="A147" s="16" t="s">
        <v>18</v>
      </c>
      <c r="B147" s="17">
        <v>495315.64000000007</v>
      </c>
      <c r="C147" s="17">
        <v>464456.87</v>
      </c>
      <c r="D147" s="17">
        <v>514258.85000000003</v>
      </c>
      <c r="E147" s="17">
        <v>406922.14</v>
      </c>
      <c r="F147" s="17">
        <v>421361.16000000003</v>
      </c>
      <c r="G147" s="17">
        <v>425173.5</v>
      </c>
      <c r="H147" s="17">
        <v>337377.67000000004</v>
      </c>
      <c r="I147" s="17">
        <v>332371.20000000001</v>
      </c>
      <c r="J147" s="17">
        <v>390202.13</v>
      </c>
      <c r="K147" s="18">
        <v>467397.47</v>
      </c>
      <c r="L147" s="17">
        <v>410671.39</v>
      </c>
      <c r="M147" s="17">
        <v>344580.69000000006</v>
      </c>
      <c r="O147" s="17">
        <f t="shared" si="8"/>
        <v>5010088.71</v>
      </c>
      <c r="P147" s="20"/>
    </row>
    <row r="148" spans="1:16" ht="15.75" customHeight="1">
      <c r="A148" s="16" t="s">
        <v>19</v>
      </c>
      <c r="B148" s="17">
        <v>70759.38</v>
      </c>
      <c r="C148" s="17">
        <v>66350.98</v>
      </c>
      <c r="D148" s="17">
        <v>73465.549999999988</v>
      </c>
      <c r="E148" s="17">
        <v>58131.729999999996</v>
      </c>
      <c r="F148" s="17">
        <v>60194.45</v>
      </c>
      <c r="G148" s="17">
        <v>60739.08</v>
      </c>
      <c r="H148" s="17">
        <v>48196.810000000012</v>
      </c>
      <c r="I148" s="17">
        <v>47481.599999999999</v>
      </c>
      <c r="J148" s="17">
        <v>55743.16</v>
      </c>
      <c r="K148" s="18">
        <v>66771.049999999988</v>
      </c>
      <c r="L148" s="17">
        <v>58667.340000000004</v>
      </c>
      <c r="M148" s="17">
        <v>49225.81</v>
      </c>
      <c r="O148" s="17">
        <f t="shared" si="8"/>
        <v>715726.94</v>
      </c>
      <c r="P148" s="20"/>
    </row>
    <row r="149" spans="1:16" ht="15.75" customHeight="1">
      <c r="A149" s="11" t="s">
        <v>22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3">
        <v>0</v>
      </c>
      <c r="L149" s="13">
        <v>0</v>
      </c>
      <c r="M149" s="12">
        <v>0</v>
      </c>
      <c r="O149" s="12"/>
      <c r="P149" s="20"/>
    </row>
    <row r="150" spans="1:16" ht="15.75" customHeight="1">
      <c r="A150" s="16" t="s">
        <v>17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8">
        <v>0</v>
      </c>
      <c r="L150" s="18">
        <v>0</v>
      </c>
      <c r="M150" s="17">
        <v>0</v>
      </c>
      <c r="O150" s="17">
        <f t="shared" si="8"/>
        <v>0</v>
      </c>
      <c r="P150" s="20"/>
    </row>
    <row r="151" spans="1:16" ht="15.75" customHeight="1">
      <c r="A151" s="16" t="s">
        <v>18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8">
        <v>0</v>
      </c>
      <c r="L151" s="18">
        <v>0</v>
      </c>
      <c r="M151" s="17">
        <v>0</v>
      </c>
      <c r="O151" s="17">
        <f t="shared" si="8"/>
        <v>0</v>
      </c>
      <c r="P151" s="20"/>
    </row>
    <row r="152" spans="1:16" ht="15.75" customHeight="1">
      <c r="A152" s="16" t="s">
        <v>19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8">
        <v>0</v>
      </c>
      <c r="L152" s="18">
        <v>0</v>
      </c>
      <c r="M152" s="17">
        <v>0</v>
      </c>
      <c r="O152" s="17">
        <f t="shared" si="8"/>
        <v>0</v>
      </c>
      <c r="P152" s="20"/>
    </row>
    <row r="153" spans="1:16" ht="15.75" customHeight="1">
      <c r="A153" s="11" t="s">
        <v>23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3">
        <v>0</v>
      </c>
      <c r="L153" s="13">
        <v>0</v>
      </c>
      <c r="M153" s="12">
        <v>0</v>
      </c>
      <c r="O153" s="12"/>
      <c r="P153" s="20"/>
    </row>
    <row r="154" spans="1:16" ht="15.75" customHeight="1">
      <c r="A154" s="16" t="s">
        <v>17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8">
        <v>0</v>
      </c>
      <c r="L154" s="18">
        <v>0</v>
      </c>
      <c r="M154" s="17">
        <v>0</v>
      </c>
      <c r="O154" s="17">
        <f t="shared" si="8"/>
        <v>0</v>
      </c>
      <c r="P154" s="20"/>
    </row>
    <row r="155" spans="1:16" ht="15.75" customHeight="1">
      <c r="A155" s="16" t="s">
        <v>18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8">
        <v>0</v>
      </c>
      <c r="L155" s="18">
        <v>0</v>
      </c>
      <c r="M155" s="17">
        <v>0</v>
      </c>
      <c r="O155" s="17">
        <f t="shared" si="8"/>
        <v>0</v>
      </c>
      <c r="P155" s="20"/>
    </row>
    <row r="156" spans="1:16" ht="15.75" customHeight="1">
      <c r="A156" s="16" t="s">
        <v>19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8">
        <v>0</v>
      </c>
      <c r="L156" s="18">
        <v>0</v>
      </c>
      <c r="M156" s="17">
        <v>0</v>
      </c>
      <c r="O156" s="17">
        <f t="shared" si="8"/>
        <v>0</v>
      </c>
      <c r="P156" s="20"/>
    </row>
    <row r="157" spans="1:16" ht="15.75" customHeight="1">
      <c r="A157" s="25" t="s">
        <v>24</v>
      </c>
      <c r="B157" s="12">
        <v>3</v>
      </c>
      <c r="C157" s="12">
        <v>3</v>
      </c>
      <c r="D157" s="12">
        <v>3</v>
      </c>
      <c r="E157" s="12">
        <v>3</v>
      </c>
      <c r="F157" s="12">
        <v>3</v>
      </c>
      <c r="G157" s="12">
        <v>3</v>
      </c>
      <c r="H157" s="12">
        <v>3</v>
      </c>
      <c r="I157" s="12">
        <v>3</v>
      </c>
      <c r="J157" s="12">
        <v>3</v>
      </c>
      <c r="K157" s="13">
        <v>3</v>
      </c>
      <c r="L157" s="13">
        <v>3</v>
      </c>
      <c r="M157" s="13">
        <v>3</v>
      </c>
      <c r="O157" s="17"/>
      <c r="P157" s="20"/>
    </row>
    <row r="158" spans="1:16" ht="15.75" customHeight="1">
      <c r="A158" s="26" t="s">
        <v>17</v>
      </c>
      <c r="B158" s="17">
        <v>111438.57</v>
      </c>
      <c r="C158" s="17">
        <v>128887.28999999998</v>
      </c>
      <c r="D158" s="17">
        <v>106098.61000000002</v>
      </c>
      <c r="E158" s="17">
        <v>184866.28</v>
      </c>
      <c r="F158" s="17">
        <v>70466.320000000007</v>
      </c>
      <c r="G158" s="31">
        <v>101352.53</v>
      </c>
      <c r="H158" s="31">
        <v>142868.50999999998</v>
      </c>
      <c r="I158" s="17">
        <v>144315.65</v>
      </c>
      <c r="J158" s="17">
        <v>103249.11</v>
      </c>
      <c r="K158" s="18">
        <v>79019.209999999992</v>
      </c>
      <c r="L158" s="17">
        <v>138575.88</v>
      </c>
      <c r="M158" s="17">
        <v>122796.7</v>
      </c>
      <c r="O158" s="17">
        <f>SUM(B158:M158)</f>
        <v>1433934.66</v>
      </c>
      <c r="P158" s="20"/>
    </row>
    <row r="159" spans="1:16" ht="15.75" customHeight="1">
      <c r="A159" s="16" t="s">
        <v>18</v>
      </c>
      <c r="B159" s="17">
        <v>15601.41</v>
      </c>
      <c r="C159" s="17">
        <v>18044.229999999996</v>
      </c>
      <c r="D159" s="17">
        <v>14853.810000000001</v>
      </c>
      <c r="E159" s="17">
        <v>25881.270000000004</v>
      </c>
      <c r="F159" s="17">
        <v>9865.2800000000007</v>
      </c>
      <c r="G159" s="31">
        <v>14189.36</v>
      </c>
      <c r="H159" s="31">
        <v>20001.590000000004</v>
      </c>
      <c r="I159" s="17">
        <v>20204.18</v>
      </c>
      <c r="J159" s="17">
        <v>14454.880000000001</v>
      </c>
      <c r="K159" s="18">
        <v>11062.680000000002</v>
      </c>
      <c r="L159" s="17">
        <v>19400.62</v>
      </c>
      <c r="M159" s="17">
        <v>17191.54</v>
      </c>
      <c r="O159" s="17">
        <f>SUM(B159:M159)</f>
        <v>200750.85</v>
      </c>
      <c r="P159" s="20"/>
    </row>
    <row r="160" spans="1:16" ht="15.75" customHeight="1">
      <c r="A160" s="26" t="s">
        <v>19</v>
      </c>
      <c r="B160" s="17">
        <v>2228.77</v>
      </c>
      <c r="C160" s="17">
        <v>2577.75</v>
      </c>
      <c r="D160" s="17">
        <v>2121.9700000000003</v>
      </c>
      <c r="E160" s="17">
        <v>3697.33</v>
      </c>
      <c r="F160" s="17">
        <v>1409.33</v>
      </c>
      <c r="G160" s="31">
        <v>2027.06</v>
      </c>
      <c r="H160" s="31">
        <v>2857.3699999999994</v>
      </c>
      <c r="I160" s="17">
        <v>2886.31</v>
      </c>
      <c r="J160" s="17">
        <v>2064.98</v>
      </c>
      <c r="K160" s="18">
        <v>1580.3799999999999</v>
      </c>
      <c r="L160" s="17">
        <v>2771.53</v>
      </c>
      <c r="M160" s="17">
        <v>2455.94</v>
      </c>
      <c r="O160" s="17">
        <f>SUM(B160:M160)</f>
        <v>28678.719999999998</v>
      </c>
      <c r="P160" s="20"/>
    </row>
    <row r="161" spans="1:16" ht="15.75" customHeight="1">
      <c r="A161" s="16"/>
      <c r="B161" s="17"/>
      <c r="C161" s="12"/>
      <c r="D161" s="17"/>
      <c r="E161" s="17"/>
      <c r="F161" s="17"/>
      <c r="G161" s="17"/>
      <c r="I161" s="17"/>
      <c r="J161" s="17"/>
      <c r="K161" s="18"/>
      <c r="L161" s="17"/>
      <c r="M161" s="17"/>
      <c r="O161" s="17"/>
      <c r="P161" s="20"/>
    </row>
    <row r="162" spans="1:16" ht="15.75" customHeight="1">
      <c r="A162" s="10" t="s">
        <v>30</v>
      </c>
      <c r="B162" s="17"/>
      <c r="C162" s="17"/>
      <c r="D162" s="17"/>
      <c r="E162" s="17"/>
      <c r="F162" s="17"/>
      <c r="G162" s="17"/>
      <c r="I162" s="17"/>
      <c r="J162" s="17"/>
      <c r="K162" s="18"/>
      <c r="L162" s="17"/>
      <c r="M162" s="17"/>
      <c r="O162" s="17"/>
      <c r="P162" s="20"/>
    </row>
    <row r="163" spans="1:16" ht="15.75" customHeight="1">
      <c r="A163" s="11" t="s">
        <v>16</v>
      </c>
      <c r="B163" s="12">
        <v>68.599999999999994</v>
      </c>
      <c r="C163" s="34">
        <v>72</v>
      </c>
      <c r="D163" s="12">
        <v>72</v>
      </c>
      <c r="E163" s="12">
        <v>71.599999999999994</v>
      </c>
      <c r="F163" s="12">
        <v>72</v>
      </c>
      <c r="G163" s="12">
        <v>72</v>
      </c>
      <c r="H163" s="12">
        <v>72</v>
      </c>
      <c r="I163" s="12">
        <v>59.2</v>
      </c>
      <c r="J163" s="12">
        <v>56</v>
      </c>
      <c r="K163" s="13">
        <v>56</v>
      </c>
      <c r="L163" s="12">
        <v>56</v>
      </c>
      <c r="M163" s="12">
        <v>56</v>
      </c>
      <c r="O163" s="12"/>
      <c r="P163" s="20"/>
    </row>
    <row r="164" spans="1:16" ht="15.75" customHeight="1">
      <c r="A164" s="16" t="s">
        <v>17</v>
      </c>
      <c r="B164" s="17">
        <v>1700697.19</v>
      </c>
      <c r="C164" s="17">
        <v>2546181.5700000003</v>
      </c>
      <c r="D164" s="17">
        <v>2167471.0099999998</v>
      </c>
      <c r="E164" s="17">
        <v>1880327.9399999997</v>
      </c>
      <c r="F164" s="17">
        <v>2072760.13</v>
      </c>
      <c r="G164" s="17">
        <v>1733218.37</v>
      </c>
      <c r="H164" s="17">
        <v>2618002.81</v>
      </c>
      <c r="I164" s="17">
        <v>2083530.57</v>
      </c>
      <c r="J164" s="17">
        <v>2603089.5099999998</v>
      </c>
      <c r="K164" s="18">
        <v>2004128.49</v>
      </c>
      <c r="L164" s="17">
        <v>2388625.69</v>
      </c>
      <c r="M164" s="17">
        <v>2453213.25</v>
      </c>
      <c r="O164" s="17">
        <f>SUM(B164:M164)</f>
        <v>26251246.530000001</v>
      </c>
      <c r="P164" s="20"/>
    </row>
    <row r="165" spans="1:16" ht="15.75" customHeight="1">
      <c r="A165" s="16" t="s">
        <v>18</v>
      </c>
      <c r="B165" s="17">
        <v>238097.62</v>
      </c>
      <c r="C165" s="17">
        <v>356465.42</v>
      </c>
      <c r="D165" s="17">
        <v>303445.96000000002</v>
      </c>
      <c r="E165" s="17">
        <v>263245.91000000003</v>
      </c>
      <c r="F165" s="17">
        <v>290186.42</v>
      </c>
      <c r="G165" s="17">
        <v>242650.57</v>
      </c>
      <c r="H165" s="17">
        <v>401683.73000000004</v>
      </c>
      <c r="I165" s="17">
        <v>324836.64999999997</v>
      </c>
      <c r="J165" s="17">
        <v>394257.85</v>
      </c>
      <c r="K165" s="18">
        <v>317426.34999999998</v>
      </c>
      <c r="L165" s="17">
        <v>377993.4</v>
      </c>
      <c r="M165" s="17">
        <v>361521.02999999997</v>
      </c>
      <c r="O165" s="17">
        <f>SUM(B165:M165)</f>
        <v>3871810.91</v>
      </c>
      <c r="P165" s="20"/>
    </row>
    <row r="166" spans="1:16" ht="15.75" customHeight="1">
      <c r="A166" s="16" t="s">
        <v>19</v>
      </c>
      <c r="B166" s="17">
        <v>34013.94</v>
      </c>
      <c r="C166" s="17">
        <v>50923.64</v>
      </c>
      <c r="D166" s="17">
        <v>43349.430000000008</v>
      </c>
      <c r="E166" s="17">
        <v>37606.560000000005</v>
      </c>
      <c r="F166" s="17">
        <v>41455.200000000004</v>
      </c>
      <c r="G166" s="17">
        <v>34664.380000000005</v>
      </c>
      <c r="H166" s="17">
        <v>52360.069999999992</v>
      </c>
      <c r="I166" s="17">
        <v>41670.619999999995</v>
      </c>
      <c r="J166" s="17">
        <v>52061.789999999994</v>
      </c>
      <c r="K166" s="18">
        <v>40082.559999999998</v>
      </c>
      <c r="L166" s="17">
        <v>47772.520000000004</v>
      </c>
      <c r="M166" s="17">
        <v>49064.28</v>
      </c>
      <c r="O166" s="17">
        <f>SUM(B166:M166)</f>
        <v>525024.99</v>
      </c>
      <c r="P166" s="20"/>
    </row>
    <row r="167" spans="1:16" ht="15.75" customHeight="1">
      <c r="A167" s="11" t="s">
        <v>20</v>
      </c>
      <c r="B167" s="12">
        <v>13.6</v>
      </c>
      <c r="C167" s="12">
        <v>17</v>
      </c>
      <c r="D167" s="12">
        <v>17</v>
      </c>
      <c r="E167" s="12">
        <v>17</v>
      </c>
      <c r="F167" s="12">
        <v>17</v>
      </c>
      <c r="G167" s="12">
        <v>17</v>
      </c>
      <c r="H167" s="12">
        <v>17</v>
      </c>
      <c r="I167" s="12">
        <v>17</v>
      </c>
      <c r="J167" s="12">
        <v>17</v>
      </c>
      <c r="K167" s="13">
        <v>17</v>
      </c>
      <c r="L167" s="12">
        <v>17</v>
      </c>
      <c r="M167" s="12">
        <v>17</v>
      </c>
      <c r="O167" s="12"/>
      <c r="P167" s="20"/>
    </row>
    <row r="168" spans="1:16" ht="15.75" customHeight="1">
      <c r="A168" s="16" t="s">
        <v>17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8">
        <v>0</v>
      </c>
      <c r="L168" s="17">
        <v>0</v>
      </c>
      <c r="M168" s="17">
        <v>0</v>
      </c>
      <c r="O168" s="17">
        <f>SUM(B168:M168)</f>
        <v>0</v>
      </c>
      <c r="P168" s="20"/>
    </row>
    <row r="169" spans="1:16" ht="15.75" customHeight="1">
      <c r="A169" s="16" t="s">
        <v>18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8">
        <v>0</v>
      </c>
      <c r="L169" s="17">
        <v>0</v>
      </c>
      <c r="M169" s="17">
        <v>0</v>
      </c>
      <c r="O169" s="17">
        <f>SUM(B169:M169)</f>
        <v>0</v>
      </c>
      <c r="P169" s="20"/>
    </row>
    <row r="170" spans="1:16" ht="15.75" customHeight="1">
      <c r="A170" s="16" t="s">
        <v>19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8">
        <v>0</v>
      </c>
      <c r="L170" s="17">
        <v>0</v>
      </c>
      <c r="M170" s="17">
        <v>0</v>
      </c>
      <c r="O170" s="17">
        <f>SUM(B170:M170)</f>
        <v>0</v>
      </c>
      <c r="P170" s="20"/>
    </row>
    <row r="171" spans="1:16" ht="15.75" customHeight="1">
      <c r="A171" s="11" t="s">
        <v>21</v>
      </c>
      <c r="B171" s="12">
        <v>50</v>
      </c>
      <c r="C171" s="12">
        <v>50</v>
      </c>
      <c r="D171" s="12">
        <v>50</v>
      </c>
      <c r="E171" s="12">
        <v>49.333333333333336</v>
      </c>
      <c r="F171" s="12">
        <v>50</v>
      </c>
      <c r="G171" s="12">
        <v>50</v>
      </c>
      <c r="H171" s="12">
        <v>50</v>
      </c>
      <c r="I171" s="12">
        <v>37.200000000000003</v>
      </c>
      <c r="J171" s="12">
        <v>34</v>
      </c>
      <c r="K171" s="13">
        <v>34</v>
      </c>
      <c r="L171" s="12">
        <v>34</v>
      </c>
      <c r="M171" s="12">
        <v>34</v>
      </c>
      <c r="O171" s="12"/>
      <c r="P171" s="20"/>
    </row>
    <row r="172" spans="1:16" ht="15.75" customHeight="1">
      <c r="A172" s="16" t="s">
        <v>17</v>
      </c>
      <c r="B172" s="17">
        <v>1595905.75</v>
      </c>
      <c r="C172" s="17">
        <v>2402461.25</v>
      </c>
      <c r="D172" s="17">
        <v>2076025.5</v>
      </c>
      <c r="E172" s="17">
        <v>1725244.75</v>
      </c>
      <c r="F172" s="17">
        <v>1912777.25</v>
      </c>
      <c r="G172" s="17">
        <v>1565320.25</v>
      </c>
      <c r="H172" s="17">
        <v>2345475.75</v>
      </c>
      <c r="I172" s="17">
        <v>1832958.42</v>
      </c>
      <c r="J172" s="17">
        <v>2366287.7999999998</v>
      </c>
      <c r="K172" s="18">
        <v>1765031.42</v>
      </c>
      <c r="L172" s="17">
        <v>2120664.8200000003</v>
      </c>
      <c r="M172" s="17">
        <v>2246068.1800000002</v>
      </c>
      <c r="O172" s="17">
        <f t="shared" ref="O172:O182" si="9">SUM(B172:M172)</f>
        <v>23954221.140000001</v>
      </c>
      <c r="P172" s="20"/>
    </row>
    <row r="173" spans="1:16" ht="15.75" customHeight="1">
      <c r="A173" s="16" t="s">
        <v>18</v>
      </c>
      <c r="B173" s="17">
        <v>223426.81</v>
      </c>
      <c r="C173" s="17">
        <v>336344.58</v>
      </c>
      <c r="D173" s="17">
        <v>290643.58</v>
      </c>
      <c r="E173" s="17">
        <v>241534.27</v>
      </c>
      <c r="F173" s="17">
        <v>267788.81999999995</v>
      </c>
      <c r="G173" s="17">
        <v>219144.84000000003</v>
      </c>
      <c r="H173" s="17">
        <v>328366.62</v>
      </c>
      <c r="I173" s="17">
        <v>256614.18999999997</v>
      </c>
      <c r="J173" s="17">
        <v>331280.3</v>
      </c>
      <c r="K173" s="18">
        <v>247104.41</v>
      </c>
      <c r="L173" s="17">
        <v>296893.09000000008</v>
      </c>
      <c r="M173" s="17">
        <v>314449.55000000005</v>
      </c>
      <c r="O173" s="17">
        <f t="shared" si="9"/>
        <v>3353591.0599999996</v>
      </c>
      <c r="P173" s="20"/>
    </row>
    <row r="174" spans="1:16" ht="15.75" customHeight="1">
      <c r="A174" s="16" t="s">
        <v>19</v>
      </c>
      <c r="B174" s="17">
        <v>31918.12</v>
      </c>
      <c r="C174" s="17">
        <v>48049.229999999996</v>
      </c>
      <c r="D174" s="17">
        <v>41520.520000000004</v>
      </c>
      <c r="E174" s="17">
        <v>34504.899999999994</v>
      </c>
      <c r="F174" s="17">
        <v>38255.549999999996</v>
      </c>
      <c r="G174" s="17">
        <v>31306.41</v>
      </c>
      <c r="H174" s="17">
        <v>46909.529999999992</v>
      </c>
      <c r="I174" s="17">
        <v>36659.180000000008</v>
      </c>
      <c r="J174" s="17">
        <v>47325.759999999995</v>
      </c>
      <c r="K174" s="18">
        <v>35300.619999999995</v>
      </c>
      <c r="L174" s="17">
        <v>42413.31</v>
      </c>
      <c r="M174" s="17">
        <v>44921.37</v>
      </c>
      <c r="O174" s="17">
        <f t="shared" si="9"/>
        <v>479084.49999999994</v>
      </c>
      <c r="P174" s="20"/>
    </row>
    <row r="175" spans="1:16" ht="15.75" customHeight="1">
      <c r="A175" s="11" t="s">
        <v>22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3">
        <v>0</v>
      </c>
      <c r="L175" s="13">
        <v>0</v>
      </c>
      <c r="M175" s="12">
        <v>0</v>
      </c>
      <c r="O175" s="12"/>
      <c r="P175" s="20"/>
    </row>
    <row r="176" spans="1:16" ht="15.75" customHeight="1">
      <c r="A176" s="16" t="s">
        <v>17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8">
        <v>0</v>
      </c>
      <c r="L176" s="17">
        <v>0</v>
      </c>
      <c r="M176" s="17">
        <v>0</v>
      </c>
      <c r="O176" s="17">
        <f t="shared" si="9"/>
        <v>0</v>
      </c>
      <c r="P176" s="20"/>
    </row>
    <row r="177" spans="1:16" ht="15.75" customHeight="1">
      <c r="A177" s="16" t="s">
        <v>18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8">
        <v>0</v>
      </c>
      <c r="L177" s="17">
        <v>0</v>
      </c>
      <c r="M177" s="17">
        <v>0</v>
      </c>
      <c r="O177" s="17">
        <f t="shared" si="9"/>
        <v>0</v>
      </c>
      <c r="P177" s="20"/>
    </row>
    <row r="178" spans="1:16" ht="15.75" customHeight="1">
      <c r="A178" s="16" t="s">
        <v>19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8">
        <v>0</v>
      </c>
      <c r="L178" s="17">
        <v>0</v>
      </c>
      <c r="M178" s="17">
        <v>0</v>
      </c>
      <c r="O178" s="17">
        <f t="shared" si="9"/>
        <v>0</v>
      </c>
      <c r="P178" s="20"/>
    </row>
    <row r="179" spans="1:16" ht="15.75" customHeight="1">
      <c r="A179" s="11" t="s">
        <v>23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3">
        <v>0</v>
      </c>
      <c r="L179" s="12">
        <v>0</v>
      </c>
      <c r="M179" s="12">
        <v>0</v>
      </c>
      <c r="O179" s="12"/>
      <c r="P179" s="20"/>
    </row>
    <row r="180" spans="1:16" ht="15.75" customHeight="1">
      <c r="A180" s="16" t="s">
        <v>17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103421.5</v>
      </c>
      <c r="I180" s="17">
        <v>97477.5</v>
      </c>
      <c r="J180" s="17">
        <v>87721.5</v>
      </c>
      <c r="K180" s="18">
        <v>108377.5</v>
      </c>
      <c r="L180" s="17">
        <v>128193.5</v>
      </c>
      <c r="M180" s="17">
        <v>53150.5</v>
      </c>
      <c r="O180" s="17">
        <f t="shared" si="9"/>
        <v>578342</v>
      </c>
      <c r="P180" s="20"/>
    </row>
    <row r="181" spans="1:16" ht="15.75" customHeight="1">
      <c r="A181" s="16" t="s">
        <v>18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49642.32</v>
      </c>
      <c r="I181" s="17">
        <v>46789.2</v>
      </c>
      <c r="J181" s="17">
        <v>42106.32</v>
      </c>
      <c r="K181" s="18">
        <v>52021.200000000004</v>
      </c>
      <c r="L181" s="17">
        <v>61532.88</v>
      </c>
      <c r="M181" s="17">
        <v>25512.239999999998</v>
      </c>
      <c r="O181" s="17">
        <f t="shared" si="9"/>
        <v>277604.16000000003</v>
      </c>
      <c r="P181" s="20"/>
    </row>
    <row r="182" spans="1:16" ht="15.75" customHeight="1">
      <c r="A182" s="16" t="s">
        <v>19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2068.4299999999998</v>
      </c>
      <c r="I182" s="17">
        <v>1949.55</v>
      </c>
      <c r="J182" s="17">
        <v>1754.43</v>
      </c>
      <c r="K182" s="18">
        <v>2167.5500000000002</v>
      </c>
      <c r="L182" s="17">
        <v>2563.87</v>
      </c>
      <c r="M182" s="17">
        <v>1063.01</v>
      </c>
      <c r="O182" s="17">
        <f t="shared" si="9"/>
        <v>11566.84</v>
      </c>
      <c r="P182" s="20"/>
    </row>
    <row r="183" spans="1:16" ht="15.75" customHeight="1">
      <c r="A183" s="25" t="s">
        <v>24</v>
      </c>
      <c r="B183" s="12">
        <v>5</v>
      </c>
      <c r="C183" s="12">
        <v>5</v>
      </c>
      <c r="D183" s="12">
        <v>5</v>
      </c>
      <c r="E183" s="12">
        <v>5</v>
      </c>
      <c r="F183" s="12">
        <v>5</v>
      </c>
      <c r="G183" s="12">
        <v>5</v>
      </c>
      <c r="H183" s="12">
        <v>5</v>
      </c>
      <c r="I183" s="12">
        <v>5</v>
      </c>
      <c r="J183" s="12">
        <v>5</v>
      </c>
      <c r="K183" s="13">
        <v>5</v>
      </c>
      <c r="L183" s="13">
        <v>5</v>
      </c>
      <c r="M183" s="13">
        <v>5</v>
      </c>
      <c r="O183" s="17"/>
      <c r="P183" s="20"/>
    </row>
    <row r="184" spans="1:16" ht="15.75" customHeight="1">
      <c r="A184" s="26" t="s">
        <v>17</v>
      </c>
      <c r="B184" s="17">
        <v>104791.44</v>
      </c>
      <c r="C184" s="17">
        <v>143720.32000000001</v>
      </c>
      <c r="D184" s="17">
        <v>91445.510000000009</v>
      </c>
      <c r="E184" s="17">
        <v>155083.18999999997</v>
      </c>
      <c r="F184" s="17">
        <v>159982.88</v>
      </c>
      <c r="G184" s="17">
        <v>167898.12000000002</v>
      </c>
      <c r="H184" s="17">
        <v>169105.56000000003</v>
      </c>
      <c r="I184" s="17">
        <v>153094.65000000002</v>
      </c>
      <c r="J184" s="17">
        <v>149080.21</v>
      </c>
      <c r="K184" s="18">
        <v>130719.57</v>
      </c>
      <c r="L184" s="17">
        <v>139767.37</v>
      </c>
      <c r="M184" s="17">
        <v>153994.57</v>
      </c>
      <c r="O184" s="17">
        <f>SUM(B184:M184)</f>
        <v>1718683.39</v>
      </c>
      <c r="P184" s="20"/>
    </row>
    <row r="185" spans="1:16" ht="15.75" customHeight="1">
      <c r="A185" s="16" t="s">
        <v>18</v>
      </c>
      <c r="B185" s="17">
        <v>14670.810000000001</v>
      </c>
      <c r="C185" s="17">
        <v>20120.839999999997</v>
      </c>
      <c r="D185" s="17">
        <v>12802.38</v>
      </c>
      <c r="E185" s="17">
        <v>21711.64</v>
      </c>
      <c r="F185" s="17">
        <v>22397.600000000002</v>
      </c>
      <c r="G185" s="17">
        <v>23505.730000000003</v>
      </c>
      <c r="H185" s="17">
        <v>23674.79</v>
      </c>
      <c r="I185" s="17">
        <v>21433.260000000002</v>
      </c>
      <c r="J185" s="17">
        <v>20871.230000000003</v>
      </c>
      <c r="K185" s="18">
        <v>18300.739999999998</v>
      </c>
      <c r="L185" s="17">
        <v>19567.43</v>
      </c>
      <c r="M185" s="17">
        <v>21559.239999999998</v>
      </c>
      <c r="O185" s="17">
        <f>SUM(B185:M185)</f>
        <v>240615.69</v>
      </c>
      <c r="P185" s="20"/>
    </row>
    <row r="186" spans="1:16" ht="15.75" customHeight="1">
      <c r="A186" s="26" t="s">
        <v>19</v>
      </c>
      <c r="B186" s="17">
        <v>2095.8200000000002</v>
      </c>
      <c r="C186" s="17">
        <v>2874.4100000000003</v>
      </c>
      <c r="D186" s="17">
        <v>1828.91</v>
      </c>
      <c r="E186" s="17">
        <v>3101.66</v>
      </c>
      <c r="F186" s="17">
        <v>3199.65</v>
      </c>
      <c r="G186" s="17">
        <v>3357.97</v>
      </c>
      <c r="H186" s="17">
        <v>3382.1099999999997</v>
      </c>
      <c r="I186" s="17">
        <v>3061.89</v>
      </c>
      <c r="J186" s="17">
        <v>2981.6</v>
      </c>
      <c r="K186" s="18">
        <v>2614.39</v>
      </c>
      <c r="L186" s="17">
        <v>2795.34</v>
      </c>
      <c r="M186" s="17">
        <v>3079.8999999999996</v>
      </c>
      <c r="O186" s="17">
        <f>SUM(B186:M186)</f>
        <v>34373.649999999994</v>
      </c>
      <c r="P186" s="20"/>
    </row>
    <row r="187" spans="1:16" ht="15.75" customHeight="1">
      <c r="B187" s="17"/>
      <c r="C187" s="17"/>
      <c r="D187" s="17"/>
      <c r="E187" s="17"/>
      <c r="F187" s="17"/>
      <c r="G187" s="17"/>
      <c r="I187" s="17"/>
      <c r="J187" s="17"/>
      <c r="K187" s="18"/>
      <c r="L187" s="17"/>
      <c r="M187" s="17"/>
      <c r="O187" s="17"/>
      <c r="P187" s="20"/>
    </row>
    <row r="188" spans="1:16" ht="15.75" customHeight="1">
      <c r="A188" s="10" t="s">
        <v>31</v>
      </c>
      <c r="B188" s="17"/>
      <c r="C188" s="17"/>
      <c r="D188" s="17"/>
      <c r="E188" s="17"/>
      <c r="F188" s="17"/>
      <c r="G188" s="17"/>
      <c r="I188" s="17"/>
      <c r="J188" s="17"/>
      <c r="K188" s="18"/>
      <c r="L188" s="17"/>
      <c r="M188" s="17"/>
      <c r="O188" s="17"/>
      <c r="P188" s="20"/>
    </row>
    <row r="189" spans="1:16" ht="15.75" customHeight="1">
      <c r="A189" s="11" t="s">
        <v>16</v>
      </c>
      <c r="B189" s="12">
        <v>214</v>
      </c>
      <c r="C189" s="34">
        <v>214</v>
      </c>
      <c r="D189" s="12">
        <v>214</v>
      </c>
      <c r="E189" s="12">
        <v>214.04000000000002</v>
      </c>
      <c r="F189" s="12">
        <v>214</v>
      </c>
      <c r="G189" s="12">
        <v>214.11999999999998</v>
      </c>
      <c r="H189" s="12">
        <v>218</v>
      </c>
      <c r="I189" s="12">
        <v>220</v>
      </c>
      <c r="J189" s="12">
        <v>220</v>
      </c>
      <c r="K189" s="13">
        <v>220</v>
      </c>
      <c r="L189" s="12">
        <v>216.4</v>
      </c>
      <c r="M189" s="12">
        <v>214</v>
      </c>
      <c r="O189" s="12"/>
      <c r="P189" s="20"/>
    </row>
    <row r="190" spans="1:16" ht="15.75" customHeight="1">
      <c r="A190" s="16" t="s">
        <v>17</v>
      </c>
      <c r="B190" s="17">
        <v>23633921.219999999</v>
      </c>
      <c r="C190" s="17">
        <v>17770846.040000003</v>
      </c>
      <c r="D190" s="17">
        <v>21305549.149999999</v>
      </c>
      <c r="E190" s="17">
        <v>19659621.599999998</v>
      </c>
      <c r="F190" s="17">
        <v>19632256.770000003</v>
      </c>
      <c r="G190" s="17">
        <v>20025422.18</v>
      </c>
      <c r="H190" s="17">
        <v>19815571.339999996</v>
      </c>
      <c r="I190" s="17">
        <v>14920127.800000001</v>
      </c>
      <c r="J190" s="17">
        <v>19972721.400000002</v>
      </c>
      <c r="K190" s="18">
        <v>21557564.210000001</v>
      </c>
      <c r="L190" s="17">
        <v>19825372.540000003</v>
      </c>
      <c r="M190" s="17">
        <v>18603500.900000002</v>
      </c>
      <c r="O190" s="17">
        <f>SUM(B190:M190)</f>
        <v>236722475.15000004</v>
      </c>
      <c r="P190" s="20"/>
    </row>
    <row r="191" spans="1:16" ht="15.75" customHeight="1">
      <c r="A191" s="16" t="s">
        <v>18</v>
      </c>
      <c r="B191" s="17">
        <v>3308748.98</v>
      </c>
      <c r="C191" s="17">
        <v>2487918.4499999997</v>
      </c>
      <c r="D191" s="17">
        <v>2982776.88</v>
      </c>
      <c r="E191" s="17">
        <v>2752347.0399999996</v>
      </c>
      <c r="F191" s="17">
        <v>2748515.96</v>
      </c>
      <c r="G191" s="17">
        <v>2803559.1199999996</v>
      </c>
      <c r="H191" s="17">
        <v>2774180.0000000005</v>
      </c>
      <c r="I191" s="17">
        <v>2088817.9</v>
      </c>
      <c r="J191" s="17">
        <v>2796181.01</v>
      </c>
      <c r="K191" s="18">
        <v>3018058.98</v>
      </c>
      <c r="L191" s="17">
        <v>2775552.1599999997</v>
      </c>
      <c r="M191" s="17">
        <v>2604490.12</v>
      </c>
      <c r="O191" s="17">
        <f>SUM(B191:M191)</f>
        <v>33141146.599999998</v>
      </c>
      <c r="P191" s="20"/>
    </row>
    <row r="192" spans="1:16" ht="15.75" customHeight="1">
      <c r="A192" s="16" t="s">
        <v>19</v>
      </c>
      <c r="B192" s="17">
        <v>472678.41</v>
      </c>
      <c r="C192" s="17">
        <v>355416.93</v>
      </c>
      <c r="D192" s="17">
        <v>426111</v>
      </c>
      <c r="E192" s="17">
        <v>393192.43999999994</v>
      </c>
      <c r="F192" s="17">
        <v>392645.15</v>
      </c>
      <c r="G192" s="17">
        <v>400508.45000000007</v>
      </c>
      <c r="H192" s="17">
        <v>396311.43</v>
      </c>
      <c r="I192" s="17">
        <v>298402.56999999995</v>
      </c>
      <c r="J192" s="17">
        <v>399454.43</v>
      </c>
      <c r="K192" s="18">
        <v>431151.27999999997</v>
      </c>
      <c r="L192" s="17">
        <v>396507.45999999996</v>
      </c>
      <c r="M192" s="17">
        <v>372070.01</v>
      </c>
      <c r="O192" s="17">
        <f>SUM(B192:M192)</f>
        <v>4734449.5599999996</v>
      </c>
      <c r="P192" s="20"/>
    </row>
    <row r="193" spans="1:16" ht="15.75" customHeight="1">
      <c r="A193" s="11" t="s">
        <v>20</v>
      </c>
      <c r="B193" s="12">
        <v>14</v>
      </c>
      <c r="C193" s="12">
        <v>14</v>
      </c>
      <c r="D193" s="12">
        <v>14</v>
      </c>
      <c r="E193" s="12">
        <v>14</v>
      </c>
      <c r="F193" s="12">
        <v>14</v>
      </c>
      <c r="G193" s="12">
        <v>14</v>
      </c>
      <c r="H193" s="12">
        <v>18</v>
      </c>
      <c r="I193" s="12">
        <v>20</v>
      </c>
      <c r="J193" s="12">
        <v>20</v>
      </c>
      <c r="K193" s="13">
        <v>20</v>
      </c>
      <c r="L193" s="12">
        <v>20</v>
      </c>
      <c r="M193" s="12">
        <v>20</v>
      </c>
      <c r="O193" s="12"/>
      <c r="P193" s="20"/>
    </row>
    <row r="194" spans="1:16" ht="15.75" customHeight="1">
      <c r="A194" s="16" t="s">
        <v>17</v>
      </c>
      <c r="B194" s="17">
        <v>704429</v>
      </c>
      <c r="C194" s="17">
        <v>563692</v>
      </c>
      <c r="D194" s="17">
        <v>528225</v>
      </c>
      <c r="E194" s="17">
        <v>541398</v>
      </c>
      <c r="F194" s="17">
        <v>557091</v>
      </c>
      <c r="G194" s="17">
        <v>572749</v>
      </c>
      <c r="H194" s="17">
        <v>709385</v>
      </c>
      <c r="I194" s="17">
        <v>635076</v>
      </c>
      <c r="J194" s="17">
        <v>676922</v>
      </c>
      <c r="K194" s="18">
        <v>656591</v>
      </c>
      <c r="L194" s="17">
        <v>613212</v>
      </c>
      <c r="M194" s="17">
        <v>623401</v>
      </c>
      <c r="O194" s="17">
        <f>SUM(B194:M194)</f>
        <v>7382171</v>
      </c>
      <c r="P194" s="20"/>
    </row>
    <row r="195" spans="1:16" ht="15.75" customHeight="1">
      <c r="A195" s="16" t="s">
        <v>18</v>
      </c>
      <c r="B195" s="17">
        <v>98620.06</v>
      </c>
      <c r="C195" s="17">
        <v>78916.87999999999</v>
      </c>
      <c r="D195" s="17">
        <v>73951.5</v>
      </c>
      <c r="E195" s="17">
        <v>75795.719999999987</v>
      </c>
      <c r="F195" s="17">
        <v>77992.740000000005</v>
      </c>
      <c r="G195" s="17">
        <v>80184.86</v>
      </c>
      <c r="H195" s="17">
        <v>99313.900000000009</v>
      </c>
      <c r="I195" s="17">
        <v>88910.64</v>
      </c>
      <c r="J195" s="17">
        <v>94769.08</v>
      </c>
      <c r="K195" s="18">
        <v>91922.74</v>
      </c>
      <c r="L195" s="17">
        <v>85849.68</v>
      </c>
      <c r="M195" s="17">
        <v>87276.139999999985</v>
      </c>
      <c r="O195" s="17">
        <f>SUM(B195:M195)</f>
        <v>1033503.9399999998</v>
      </c>
      <c r="P195" s="20"/>
    </row>
    <row r="196" spans="1:16" ht="15.75" customHeight="1">
      <c r="A196" s="16" t="s">
        <v>19</v>
      </c>
      <c r="B196" s="17">
        <v>14088.579999999998</v>
      </c>
      <c r="C196" s="17">
        <v>11273.84</v>
      </c>
      <c r="D196" s="17">
        <v>10564.5</v>
      </c>
      <c r="E196" s="17">
        <v>10827.96</v>
      </c>
      <c r="F196" s="17">
        <v>11141.82</v>
      </c>
      <c r="G196" s="17">
        <v>11454.98</v>
      </c>
      <c r="H196" s="17">
        <v>14187.699999999999</v>
      </c>
      <c r="I196" s="17">
        <v>12701.519999999999</v>
      </c>
      <c r="J196" s="17">
        <v>13538.44</v>
      </c>
      <c r="K196" s="18">
        <v>13131.82</v>
      </c>
      <c r="L196" s="17">
        <v>12264.239999999998</v>
      </c>
      <c r="M196" s="17">
        <v>12468.019999999999</v>
      </c>
      <c r="O196" s="17">
        <f>SUM(B196:M196)</f>
        <v>147643.41999999998</v>
      </c>
      <c r="P196" s="20"/>
    </row>
    <row r="197" spans="1:16" ht="15.75" customHeight="1">
      <c r="A197" s="11" t="s">
        <v>21</v>
      </c>
      <c r="B197" s="12">
        <v>157</v>
      </c>
      <c r="C197" s="12">
        <v>157</v>
      </c>
      <c r="D197" s="12">
        <v>157</v>
      </c>
      <c r="E197" s="12">
        <v>157</v>
      </c>
      <c r="F197" s="12">
        <v>157</v>
      </c>
      <c r="G197" s="12">
        <v>157</v>
      </c>
      <c r="H197" s="12">
        <v>157</v>
      </c>
      <c r="I197" s="12">
        <v>157</v>
      </c>
      <c r="J197" s="12">
        <v>157</v>
      </c>
      <c r="K197" s="13">
        <v>157</v>
      </c>
      <c r="L197" s="12">
        <v>153.4</v>
      </c>
      <c r="M197" s="12">
        <v>151</v>
      </c>
      <c r="O197" s="12"/>
      <c r="P197" s="20"/>
    </row>
    <row r="198" spans="1:16" ht="15.75" customHeight="1">
      <c r="A198" s="16" t="s">
        <v>17</v>
      </c>
      <c r="B198" s="17">
        <v>21883433.16</v>
      </c>
      <c r="C198" s="17">
        <v>15987962.379999999</v>
      </c>
      <c r="D198" s="17">
        <v>19780566.300000001</v>
      </c>
      <c r="E198" s="17">
        <v>17961190.160000004</v>
      </c>
      <c r="F198" s="17">
        <v>17975179.550000001</v>
      </c>
      <c r="G198" s="17">
        <v>18294457.600000001</v>
      </c>
      <c r="H198" s="17">
        <v>18328757.25</v>
      </c>
      <c r="I198" s="17">
        <v>13608296.159999998</v>
      </c>
      <c r="J198" s="17">
        <v>18358174.489999998</v>
      </c>
      <c r="K198" s="18">
        <v>19806867.43</v>
      </c>
      <c r="L198" s="17">
        <v>18311163.399999999</v>
      </c>
      <c r="M198" s="17">
        <v>17065371.48</v>
      </c>
      <c r="O198" s="17">
        <f t="shared" ref="O198:O208" si="10">SUM(B198:M198)</f>
        <v>217361419.36000001</v>
      </c>
      <c r="P198" s="20"/>
    </row>
    <row r="199" spans="1:16" ht="15.75" customHeight="1">
      <c r="A199" s="16" t="s">
        <v>18</v>
      </c>
      <c r="B199" s="17">
        <v>3063680.65</v>
      </c>
      <c r="C199" s="17">
        <v>2238314.7400000002</v>
      </c>
      <c r="D199" s="17">
        <v>2769279.2800000003</v>
      </c>
      <c r="E199" s="17">
        <v>2514566.64</v>
      </c>
      <c r="F199" s="17">
        <v>2516525.1399999997</v>
      </c>
      <c r="G199" s="17">
        <v>2561224.0700000003</v>
      </c>
      <c r="H199" s="17">
        <v>2566026.02</v>
      </c>
      <c r="I199" s="17">
        <v>1905161.47</v>
      </c>
      <c r="J199" s="17">
        <v>2570144.4400000004</v>
      </c>
      <c r="K199" s="18">
        <v>2772961.44</v>
      </c>
      <c r="L199" s="17">
        <v>2563562.88</v>
      </c>
      <c r="M199" s="17">
        <v>2389152.0099999998</v>
      </c>
      <c r="O199" s="17">
        <f t="shared" si="10"/>
        <v>30430598.780000001</v>
      </c>
      <c r="P199" s="20"/>
    </row>
    <row r="200" spans="1:16" ht="15.75" customHeight="1">
      <c r="A200" s="16" t="s">
        <v>19</v>
      </c>
      <c r="B200" s="17">
        <v>437668.66000000003</v>
      </c>
      <c r="C200" s="17">
        <v>319759.25</v>
      </c>
      <c r="D200" s="17">
        <v>395611.33</v>
      </c>
      <c r="E200" s="17">
        <v>359223.81</v>
      </c>
      <c r="F200" s="17">
        <v>359503.6</v>
      </c>
      <c r="G200" s="17">
        <v>365889.16</v>
      </c>
      <c r="H200" s="17">
        <v>366575.16000000009</v>
      </c>
      <c r="I200" s="17">
        <v>272165.94</v>
      </c>
      <c r="J200" s="17">
        <v>367163.49</v>
      </c>
      <c r="K200" s="18">
        <v>396137.36</v>
      </c>
      <c r="L200" s="17">
        <v>366223.27</v>
      </c>
      <c r="M200" s="17">
        <v>341307.43</v>
      </c>
      <c r="O200" s="17">
        <f t="shared" si="10"/>
        <v>4347228.46</v>
      </c>
      <c r="P200" s="20"/>
    </row>
    <row r="201" spans="1:16" ht="15.75" customHeight="1">
      <c r="A201" s="11" t="s">
        <v>22</v>
      </c>
      <c r="B201" s="12">
        <v>0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0</v>
      </c>
      <c r="L201" s="12">
        <v>0</v>
      </c>
      <c r="M201" s="12">
        <v>0</v>
      </c>
      <c r="O201" s="12"/>
      <c r="P201" s="20"/>
    </row>
    <row r="202" spans="1:16" ht="15.75" customHeight="1">
      <c r="A202" s="16" t="s">
        <v>17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8">
        <v>0</v>
      </c>
      <c r="L202" s="17">
        <v>0</v>
      </c>
      <c r="M202" s="17">
        <v>0</v>
      </c>
      <c r="O202" s="17">
        <f t="shared" si="10"/>
        <v>0</v>
      </c>
      <c r="P202" s="20"/>
    </row>
    <row r="203" spans="1:16" ht="15.75" customHeight="1">
      <c r="A203" s="16" t="s">
        <v>18</v>
      </c>
      <c r="B203" s="17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8">
        <v>0</v>
      </c>
      <c r="L203" s="17">
        <v>0</v>
      </c>
      <c r="M203" s="17">
        <v>0</v>
      </c>
      <c r="O203" s="17">
        <f t="shared" si="10"/>
        <v>0</v>
      </c>
      <c r="P203" s="20"/>
    </row>
    <row r="204" spans="1:16" ht="15.75" customHeight="1">
      <c r="A204" s="16" t="s">
        <v>19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8">
        <v>0</v>
      </c>
      <c r="L204" s="17">
        <v>0</v>
      </c>
      <c r="M204" s="17">
        <v>0</v>
      </c>
      <c r="O204" s="17">
        <f t="shared" si="10"/>
        <v>0</v>
      </c>
      <c r="P204" s="20"/>
    </row>
    <row r="205" spans="1:16" ht="15.75" customHeight="1">
      <c r="A205" s="11" t="s">
        <v>23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0</v>
      </c>
      <c r="L205" s="12">
        <v>0</v>
      </c>
      <c r="M205" s="12">
        <v>0</v>
      </c>
      <c r="O205" s="12"/>
      <c r="P205" s="20"/>
    </row>
    <row r="206" spans="1:16" ht="15.75" customHeight="1">
      <c r="A206" s="16" t="s">
        <v>17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8">
        <v>0</v>
      </c>
      <c r="L206" s="17">
        <v>0</v>
      </c>
      <c r="M206" s="17">
        <v>0</v>
      </c>
      <c r="O206" s="17">
        <f t="shared" si="10"/>
        <v>0</v>
      </c>
      <c r="P206" s="20"/>
    </row>
    <row r="207" spans="1:16" ht="15.75" customHeight="1">
      <c r="A207" s="16" t="s">
        <v>18</v>
      </c>
      <c r="B207" s="17">
        <v>0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8">
        <v>0</v>
      </c>
      <c r="L207" s="17">
        <v>0</v>
      </c>
      <c r="M207" s="17">
        <v>0</v>
      </c>
      <c r="O207" s="17">
        <f t="shared" si="10"/>
        <v>0</v>
      </c>
      <c r="P207" s="20"/>
    </row>
    <row r="208" spans="1:16" ht="15.75" customHeight="1">
      <c r="A208" s="16" t="s">
        <v>19</v>
      </c>
      <c r="B208" s="17">
        <v>0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8">
        <v>0</v>
      </c>
      <c r="L208" s="17">
        <v>0</v>
      </c>
      <c r="M208" s="17">
        <v>0</v>
      </c>
      <c r="O208" s="17">
        <f t="shared" si="10"/>
        <v>0</v>
      </c>
      <c r="P208" s="20"/>
    </row>
    <row r="209" spans="1:16" ht="15.75" customHeight="1">
      <c r="A209" s="25" t="s">
        <v>24</v>
      </c>
      <c r="B209" s="12">
        <v>43</v>
      </c>
      <c r="C209" s="12">
        <v>43</v>
      </c>
      <c r="D209" s="12">
        <v>43</v>
      </c>
      <c r="E209" s="12">
        <v>43.033333333333331</v>
      </c>
      <c r="F209" s="12">
        <v>43</v>
      </c>
      <c r="G209" s="12">
        <v>43.120000000000005</v>
      </c>
      <c r="H209" s="12">
        <v>43</v>
      </c>
      <c r="I209" s="12">
        <v>43</v>
      </c>
      <c r="J209" s="12">
        <v>43</v>
      </c>
      <c r="K209" s="13">
        <v>43</v>
      </c>
      <c r="L209" s="12">
        <v>43</v>
      </c>
      <c r="M209" s="12">
        <v>43</v>
      </c>
      <c r="N209" s="21"/>
      <c r="O209" s="17"/>
      <c r="P209" s="20"/>
    </row>
    <row r="210" spans="1:16" ht="15.75" customHeight="1">
      <c r="A210" s="26" t="s">
        <v>17</v>
      </c>
      <c r="B210" s="17">
        <v>1046059.06</v>
      </c>
      <c r="C210" s="17">
        <v>1219191.6599999999</v>
      </c>
      <c r="D210" s="17">
        <v>996757.85</v>
      </c>
      <c r="E210" s="17">
        <v>1157033.44</v>
      </c>
      <c r="F210" s="17">
        <v>1099986.22</v>
      </c>
      <c r="G210" s="17">
        <v>1158215.58</v>
      </c>
      <c r="H210" s="17">
        <v>777429.09</v>
      </c>
      <c r="I210" s="17">
        <v>676755.64</v>
      </c>
      <c r="J210" s="17">
        <v>937624.90999999992</v>
      </c>
      <c r="K210" s="18">
        <v>1094105.78</v>
      </c>
      <c r="L210" s="17">
        <v>900997.14</v>
      </c>
      <c r="M210" s="17">
        <v>914728.42</v>
      </c>
      <c r="N210" s="21"/>
      <c r="O210" s="17">
        <f>SUM(B210:M210)</f>
        <v>11978884.789999999</v>
      </c>
      <c r="P210" s="20"/>
    </row>
    <row r="211" spans="1:16" ht="15.75" customHeight="1">
      <c r="A211" s="16" t="s">
        <v>18</v>
      </c>
      <c r="B211" s="17">
        <v>146448.27000000002</v>
      </c>
      <c r="C211" s="17">
        <v>170686.83</v>
      </c>
      <c r="D211" s="17">
        <v>139546.1</v>
      </c>
      <c r="E211" s="17">
        <v>161984.68</v>
      </c>
      <c r="F211" s="17">
        <v>153998.07999999999</v>
      </c>
      <c r="G211" s="17">
        <v>162150.19</v>
      </c>
      <c r="H211" s="17">
        <v>108840.08</v>
      </c>
      <c r="I211" s="17">
        <v>94745.79</v>
      </c>
      <c r="J211" s="17">
        <v>131267.49</v>
      </c>
      <c r="K211" s="18">
        <v>153174.79999999999</v>
      </c>
      <c r="L211" s="17">
        <v>126139.59999999999</v>
      </c>
      <c r="M211" s="17">
        <v>128061.97</v>
      </c>
      <c r="N211" s="21"/>
      <c r="O211" s="17">
        <f>SUM(B211:M211)</f>
        <v>1677043.88</v>
      </c>
      <c r="P211" s="20"/>
    </row>
    <row r="212" spans="1:16" ht="15.75" customHeight="1">
      <c r="A212" s="26" t="s">
        <v>19</v>
      </c>
      <c r="B212" s="17">
        <v>20921.169999999998</v>
      </c>
      <c r="C212" s="17">
        <v>24383.84</v>
      </c>
      <c r="D212" s="17">
        <v>19935.170000000002</v>
      </c>
      <c r="E212" s="17">
        <v>23140.669999999995</v>
      </c>
      <c r="F212" s="17">
        <v>21999.73</v>
      </c>
      <c r="G212" s="17">
        <v>23164.309999999998</v>
      </c>
      <c r="H212" s="17">
        <v>15548.57</v>
      </c>
      <c r="I212" s="17">
        <v>13535.11</v>
      </c>
      <c r="J212" s="17">
        <v>18752.5</v>
      </c>
      <c r="K212" s="18">
        <v>21882.100000000002</v>
      </c>
      <c r="L212" s="17">
        <v>18019.95</v>
      </c>
      <c r="M212" s="17">
        <v>18294.560000000001</v>
      </c>
      <c r="N212" s="21"/>
      <c r="O212" s="17">
        <f>SUM(B212:M212)</f>
        <v>239577.68000000002</v>
      </c>
      <c r="P212" s="20"/>
    </row>
    <row r="213" spans="1:16" ht="15.75" customHeight="1">
      <c r="B213" s="12"/>
      <c r="C213" s="12"/>
      <c r="D213" s="12"/>
      <c r="E213" s="12"/>
      <c r="F213" s="12"/>
      <c r="G213" s="12"/>
      <c r="I213" s="12"/>
      <c r="J213" s="12"/>
      <c r="K213" s="13"/>
      <c r="L213" s="12"/>
      <c r="M213" s="12"/>
      <c r="O213" s="12"/>
      <c r="P213" s="20"/>
    </row>
    <row r="214" spans="1:16" ht="15.75" customHeight="1">
      <c r="A214" s="10" t="s">
        <v>32</v>
      </c>
      <c r="B214" s="17"/>
      <c r="C214" s="17"/>
      <c r="D214" s="17"/>
      <c r="E214" s="17"/>
      <c r="F214" s="17"/>
      <c r="G214" s="17"/>
      <c r="I214" s="17"/>
      <c r="J214" s="17"/>
      <c r="K214" s="18"/>
      <c r="L214" s="17"/>
      <c r="M214" s="17"/>
      <c r="O214" s="17"/>
      <c r="P214" s="20"/>
    </row>
    <row r="215" spans="1:16" ht="15.75" customHeight="1">
      <c r="A215" s="11" t="s">
        <v>16</v>
      </c>
      <c r="B215" s="12">
        <v>129</v>
      </c>
      <c r="C215" s="34">
        <v>129</v>
      </c>
      <c r="D215" s="12">
        <v>129</v>
      </c>
      <c r="E215" s="12">
        <v>129</v>
      </c>
      <c r="F215" s="12">
        <v>128.80000000000001</v>
      </c>
      <c r="G215" s="12">
        <v>133.6</v>
      </c>
      <c r="H215" s="12">
        <v>136</v>
      </c>
      <c r="I215" s="12">
        <v>136</v>
      </c>
      <c r="J215" s="12">
        <v>136</v>
      </c>
      <c r="K215" s="13">
        <v>136</v>
      </c>
      <c r="L215" s="12">
        <v>136</v>
      </c>
      <c r="M215" s="12">
        <v>136</v>
      </c>
      <c r="O215" s="12"/>
      <c r="P215" s="20"/>
    </row>
    <row r="216" spans="1:16" ht="15.75" customHeight="1">
      <c r="A216" s="16" t="s">
        <v>17</v>
      </c>
      <c r="B216" s="17">
        <v>7425583.0099999998</v>
      </c>
      <c r="C216" s="17">
        <v>6404752.25</v>
      </c>
      <c r="D216" s="17">
        <v>7435344.4100000001</v>
      </c>
      <c r="E216" s="17">
        <v>7303858.0600000005</v>
      </c>
      <c r="F216" s="17">
        <v>6888282.2999999998</v>
      </c>
      <c r="G216" s="17">
        <v>8689176.1999999993</v>
      </c>
      <c r="H216" s="17">
        <v>6887019.0999999996</v>
      </c>
      <c r="I216" s="17">
        <v>6992481.6799999997</v>
      </c>
      <c r="J216" s="17">
        <v>8540580.5800000001</v>
      </c>
      <c r="K216" s="18">
        <v>8572758.7799999993</v>
      </c>
      <c r="L216" s="17">
        <v>7445497.6299999999</v>
      </c>
      <c r="M216" s="17">
        <v>6218341.7000000002</v>
      </c>
      <c r="O216" s="17">
        <f>SUM(B216:M216)</f>
        <v>88803675.700000003</v>
      </c>
      <c r="P216" s="20"/>
    </row>
    <row r="217" spans="1:16" ht="15.75" customHeight="1">
      <c r="A217" s="16" t="s">
        <v>18</v>
      </c>
      <c r="B217" s="17">
        <v>1039581.6299999999</v>
      </c>
      <c r="C217" s="17">
        <v>896665.33</v>
      </c>
      <c r="D217" s="17">
        <v>1040948.22</v>
      </c>
      <c r="E217" s="17">
        <v>1022540.1399999999</v>
      </c>
      <c r="F217" s="17">
        <v>964359.53</v>
      </c>
      <c r="G217" s="17">
        <v>1216484.67</v>
      </c>
      <c r="H217" s="17">
        <v>964182.70000000007</v>
      </c>
      <c r="I217" s="17">
        <v>978947.45</v>
      </c>
      <c r="J217" s="17">
        <v>1195681.3</v>
      </c>
      <c r="K217" s="18">
        <v>1200186.24</v>
      </c>
      <c r="L217" s="17">
        <v>1042369.67</v>
      </c>
      <c r="M217" s="17">
        <v>870567.85000000009</v>
      </c>
      <c r="O217" s="17">
        <f>SUM(B217:M217)</f>
        <v>12432514.73</v>
      </c>
      <c r="P217" s="20"/>
    </row>
    <row r="218" spans="1:16" ht="15.75" customHeight="1">
      <c r="A218" s="16" t="s">
        <v>19</v>
      </c>
      <c r="B218" s="17">
        <v>148511.66999999998</v>
      </c>
      <c r="C218" s="17">
        <v>128095.06</v>
      </c>
      <c r="D218" s="17">
        <v>148706.9</v>
      </c>
      <c r="E218" s="17">
        <v>146077.17999999996</v>
      </c>
      <c r="F218" s="17">
        <v>137765.65000000002</v>
      </c>
      <c r="G218" s="17">
        <v>173783.53</v>
      </c>
      <c r="H218" s="17">
        <v>137740.41</v>
      </c>
      <c r="I218" s="17">
        <v>139849.65</v>
      </c>
      <c r="J218" s="17">
        <v>170811.62999999998</v>
      </c>
      <c r="K218" s="18">
        <v>171455.18000000002</v>
      </c>
      <c r="L218" s="17">
        <v>148909.95999999996</v>
      </c>
      <c r="M218" s="17">
        <v>124366.84</v>
      </c>
      <c r="O218" s="17">
        <f>SUM(B218:M218)</f>
        <v>1776073.66</v>
      </c>
      <c r="P218" s="20"/>
    </row>
    <row r="219" spans="1:16" ht="15.75" customHeight="1">
      <c r="A219" s="11" t="s">
        <v>20</v>
      </c>
      <c r="B219" s="12">
        <v>30</v>
      </c>
      <c r="C219" s="12">
        <v>30</v>
      </c>
      <c r="D219" s="12">
        <v>30</v>
      </c>
      <c r="E219" s="12">
        <v>30</v>
      </c>
      <c r="F219" s="12">
        <v>30</v>
      </c>
      <c r="G219" s="12">
        <v>30</v>
      </c>
      <c r="H219" s="12">
        <v>30</v>
      </c>
      <c r="I219" s="12">
        <v>30</v>
      </c>
      <c r="J219" s="12">
        <v>30</v>
      </c>
      <c r="K219" s="13">
        <v>30</v>
      </c>
      <c r="L219" s="12">
        <v>30</v>
      </c>
      <c r="M219" s="12">
        <v>30</v>
      </c>
      <c r="O219" s="12"/>
      <c r="P219" s="20"/>
    </row>
    <row r="220" spans="1:16" ht="15.75" customHeight="1">
      <c r="A220" s="16" t="s">
        <v>17</v>
      </c>
      <c r="B220" s="17">
        <v>677561</v>
      </c>
      <c r="C220" s="17">
        <v>548952</v>
      </c>
      <c r="D220" s="17">
        <v>408088</v>
      </c>
      <c r="E220" s="17">
        <v>492436</v>
      </c>
      <c r="F220" s="17">
        <v>466448</v>
      </c>
      <c r="G220" s="17">
        <v>516780</v>
      </c>
      <c r="H220" s="17">
        <v>515059</v>
      </c>
      <c r="I220" s="17">
        <v>497376</v>
      </c>
      <c r="J220" s="17">
        <v>545139</v>
      </c>
      <c r="K220" s="18">
        <v>488396</v>
      </c>
      <c r="L220" s="17">
        <v>475352</v>
      </c>
      <c r="M220" s="17">
        <v>482533</v>
      </c>
      <c r="O220" s="17">
        <f>SUM(B220:M220)</f>
        <v>6114120</v>
      </c>
      <c r="P220" s="20"/>
    </row>
    <row r="221" spans="1:16" ht="15.75" customHeight="1">
      <c r="A221" s="16" t="s">
        <v>18</v>
      </c>
      <c r="B221" s="17">
        <v>94858.54</v>
      </c>
      <c r="C221" s="17">
        <v>76853.279999999999</v>
      </c>
      <c r="D221" s="17">
        <v>57132.319999999992</v>
      </c>
      <c r="E221" s="17">
        <v>68941.039999999994</v>
      </c>
      <c r="F221" s="17">
        <v>65302.719999999994</v>
      </c>
      <c r="G221" s="17">
        <v>72349.200000000012</v>
      </c>
      <c r="H221" s="17">
        <v>72108.260000000009</v>
      </c>
      <c r="I221" s="17">
        <v>69632.640000000014</v>
      </c>
      <c r="J221" s="17">
        <v>76319.459999999992</v>
      </c>
      <c r="K221" s="18">
        <v>68375.44</v>
      </c>
      <c r="L221" s="17">
        <v>66549.279999999999</v>
      </c>
      <c r="M221" s="17">
        <v>67554.62</v>
      </c>
      <c r="O221" s="17">
        <f>SUM(B221:M221)</f>
        <v>855976.79999999993</v>
      </c>
      <c r="P221" s="20"/>
    </row>
    <row r="222" spans="1:16" ht="15.75" customHeight="1">
      <c r="A222" s="16" t="s">
        <v>19</v>
      </c>
      <c r="B222" s="17">
        <v>13551.220000000001</v>
      </c>
      <c r="C222" s="17">
        <v>10979.04</v>
      </c>
      <c r="D222" s="17">
        <v>8161.76</v>
      </c>
      <c r="E222" s="17">
        <v>9848.7200000000012</v>
      </c>
      <c r="F222" s="17">
        <v>9328.9599999999991</v>
      </c>
      <c r="G222" s="17">
        <v>10335.599999999999</v>
      </c>
      <c r="H222" s="17">
        <v>10301.18</v>
      </c>
      <c r="I222" s="17">
        <v>9947.5199999999986</v>
      </c>
      <c r="J222" s="17">
        <v>10902.78</v>
      </c>
      <c r="K222" s="18">
        <v>9767.92</v>
      </c>
      <c r="L222" s="17">
        <v>9507.0400000000009</v>
      </c>
      <c r="M222" s="17">
        <v>9650.66</v>
      </c>
      <c r="O222" s="17">
        <f>SUM(B222:M222)</f>
        <v>122282.40000000002</v>
      </c>
      <c r="P222" s="20"/>
    </row>
    <row r="223" spans="1:16" ht="15.75" customHeight="1">
      <c r="A223" s="11" t="s">
        <v>21</v>
      </c>
      <c r="B223" s="12">
        <v>88</v>
      </c>
      <c r="C223" s="12">
        <v>88</v>
      </c>
      <c r="D223" s="12">
        <v>88</v>
      </c>
      <c r="E223" s="12">
        <v>88</v>
      </c>
      <c r="F223" s="12">
        <v>87.8</v>
      </c>
      <c r="G223" s="12">
        <v>92.6</v>
      </c>
      <c r="H223" s="12">
        <v>95</v>
      </c>
      <c r="I223" s="12">
        <v>95</v>
      </c>
      <c r="J223" s="12">
        <v>95</v>
      </c>
      <c r="K223" s="13">
        <v>95</v>
      </c>
      <c r="L223" s="12">
        <v>95</v>
      </c>
      <c r="M223" s="12">
        <v>95</v>
      </c>
      <c r="O223" s="12"/>
      <c r="P223" s="20"/>
    </row>
    <row r="224" spans="1:16" ht="15.75" customHeight="1">
      <c r="A224" s="16" t="s">
        <v>17</v>
      </c>
      <c r="B224" s="17">
        <v>6443851.5099999998</v>
      </c>
      <c r="C224" s="17">
        <v>5644622</v>
      </c>
      <c r="D224" s="17">
        <v>6777435.3100000005</v>
      </c>
      <c r="E224" s="17">
        <v>6528618.0600000005</v>
      </c>
      <c r="F224" s="17">
        <v>6230068.2999999998</v>
      </c>
      <c r="G224" s="17">
        <v>7944621.1999999993</v>
      </c>
      <c r="H224" s="17">
        <v>6167174.5999999996</v>
      </c>
      <c r="I224" s="17">
        <v>6211921.5</v>
      </c>
      <c r="J224" s="17">
        <v>7577208.2999999998</v>
      </c>
      <c r="K224" s="18">
        <v>7709180.21</v>
      </c>
      <c r="L224" s="17">
        <v>6718552.2599999998</v>
      </c>
      <c r="M224" s="17">
        <v>5543915.8100000005</v>
      </c>
      <c r="O224" s="17">
        <f t="shared" ref="O224:O234" si="11">SUM(B224:M224)</f>
        <v>79497169.060000002</v>
      </c>
      <c r="P224" s="20"/>
    </row>
    <row r="225" spans="1:16" ht="15.75" customHeight="1">
      <c r="A225" s="16" t="s">
        <v>18</v>
      </c>
      <c r="B225" s="17">
        <v>902139.22</v>
      </c>
      <c r="C225" s="17">
        <v>790247.09</v>
      </c>
      <c r="D225" s="17">
        <v>948840.94</v>
      </c>
      <c r="E225" s="17">
        <v>914006.54000000015</v>
      </c>
      <c r="F225" s="17">
        <v>872209.57</v>
      </c>
      <c r="G225" s="17">
        <v>1112246.97</v>
      </c>
      <c r="H225" s="17">
        <v>863404.47</v>
      </c>
      <c r="I225" s="17">
        <v>869669.02999999991</v>
      </c>
      <c r="J225" s="17">
        <v>1060809.17</v>
      </c>
      <c r="K225" s="18">
        <v>1079285.24</v>
      </c>
      <c r="L225" s="17">
        <v>940597.32000000007</v>
      </c>
      <c r="M225" s="17">
        <v>776148.22</v>
      </c>
      <c r="O225" s="17">
        <f t="shared" si="11"/>
        <v>11129603.780000001</v>
      </c>
      <c r="P225" s="20"/>
    </row>
    <row r="226" spans="1:16" ht="15.75" customHeight="1">
      <c r="A226" s="16" t="s">
        <v>19</v>
      </c>
      <c r="B226" s="17">
        <v>128877.04000000001</v>
      </c>
      <c r="C226" s="17">
        <v>112892.45</v>
      </c>
      <c r="D226" s="17">
        <v>135548.71000000002</v>
      </c>
      <c r="E226" s="17">
        <v>130572.38</v>
      </c>
      <c r="F226" s="17">
        <v>124601.37000000001</v>
      </c>
      <c r="G226" s="17">
        <v>158892.43</v>
      </c>
      <c r="H226" s="17">
        <v>123343.51999999999</v>
      </c>
      <c r="I226" s="17">
        <v>124238.45</v>
      </c>
      <c r="J226" s="17">
        <v>151544.18000000002</v>
      </c>
      <c r="K226" s="18">
        <v>154183.6</v>
      </c>
      <c r="L226" s="17">
        <v>134371.04999999999</v>
      </c>
      <c r="M226" s="17">
        <v>110878.32</v>
      </c>
      <c r="O226" s="17">
        <f t="shared" si="11"/>
        <v>1589943.5000000002</v>
      </c>
      <c r="P226" s="20"/>
    </row>
    <row r="227" spans="1:16" ht="15.75" customHeight="1">
      <c r="A227" s="11" t="s">
        <v>22</v>
      </c>
      <c r="B227" s="12">
        <v>0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3">
        <v>0</v>
      </c>
      <c r="L227" s="12">
        <v>0</v>
      </c>
      <c r="M227" s="12">
        <v>0</v>
      </c>
      <c r="O227" s="12"/>
      <c r="P227" s="20"/>
    </row>
    <row r="228" spans="1:16" ht="15.75" customHeight="1">
      <c r="A228" s="16" t="s">
        <v>17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8">
        <v>0</v>
      </c>
      <c r="L228" s="17">
        <v>0</v>
      </c>
      <c r="M228" s="17">
        <v>0</v>
      </c>
      <c r="O228" s="17">
        <f t="shared" si="11"/>
        <v>0</v>
      </c>
      <c r="P228" s="20"/>
    </row>
    <row r="229" spans="1:16" ht="15.75" customHeight="1">
      <c r="A229" s="16" t="s">
        <v>18</v>
      </c>
      <c r="B229" s="17">
        <v>0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8">
        <v>0</v>
      </c>
      <c r="L229" s="17">
        <v>0</v>
      </c>
      <c r="M229" s="17">
        <v>0</v>
      </c>
      <c r="O229" s="17">
        <f t="shared" si="11"/>
        <v>0</v>
      </c>
      <c r="P229" s="20"/>
    </row>
    <row r="230" spans="1:16" ht="15.75" customHeight="1">
      <c r="A230" s="16" t="s">
        <v>19</v>
      </c>
      <c r="B230" s="17">
        <v>0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8">
        <v>0</v>
      </c>
      <c r="L230" s="17">
        <v>0</v>
      </c>
      <c r="M230" s="17">
        <v>0</v>
      </c>
      <c r="O230" s="17">
        <f t="shared" si="11"/>
        <v>0</v>
      </c>
      <c r="P230" s="20"/>
    </row>
    <row r="231" spans="1:16" ht="15.75" customHeight="1">
      <c r="A231" s="11" t="s">
        <v>23</v>
      </c>
      <c r="B231" s="12">
        <v>0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3">
        <v>0</v>
      </c>
      <c r="L231" s="12">
        <v>0</v>
      </c>
      <c r="M231" s="12">
        <v>0</v>
      </c>
      <c r="O231" s="12"/>
      <c r="P231" s="20"/>
    </row>
    <row r="232" spans="1:16" ht="15.75" customHeight="1">
      <c r="A232" s="16" t="s">
        <v>17</v>
      </c>
      <c r="B232" s="17">
        <v>0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8">
        <v>0</v>
      </c>
      <c r="L232" s="17">
        <v>0</v>
      </c>
      <c r="M232" s="17">
        <v>0</v>
      </c>
      <c r="O232" s="17">
        <f t="shared" si="11"/>
        <v>0</v>
      </c>
      <c r="P232" s="20"/>
    </row>
    <row r="233" spans="1:16" ht="15.75" customHeight="1">
      <c r="A233" s="16" t="s">
        <v>18</v>
      </c>
      <c r="B233" s="17">
        <v>0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8">
        <v>0</v>
      </c>
      <c r="L233" s="17">
        <v>0</v>
      </c>
      <c r="M233" s="17">
        <v>0</v>
      </c>
      <c r="O233" s="17">
        <f t="shared" si="11"/>
        <v>0</v>
      </c>
      <c r="P233" s="20"/>
    </row>
    <row r="234" spans="1:16" ht="15.75" customHeight="1">
      <c r="A234" s="16" t="s">
        <v>19</v>
      </c>
      <c r="B234" s="17">
        <v>0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8">
        <v>0</v>
      </c>
      <c r="L234" s="17">
        <v>0</v>
      </c>
      <c r="M234" s="17">
        <v>0</v>
      </c>
      <c r="O234" s="17">
        <f t="shared" si="11"/>
        <v>0</v>
      </c>
      <c r="P234" s="20"/>
    </row>
    <row r="235" spans="1:16" ht="15.75" customHeight="1">
      <c r="A235" s="25" t="s">
        <v>24</v>
      </c>
      <c r="B235" s="12">
        <v>11</v>
      </c>
      <c r="C235" s="12">
        <v>11</v>
      </c>
      <c r="D235" s="12">
        <v>11</v>
      </c>
      <c r="E235" s="12">
        <v>11</v>
      </c>
      <c r="F235" s="12">
        <v>11</v>
      </c>
      <c r="G235" s="12">
        <v>11</v>
      </c>
      <c r="H235" s="12">
        <v>11</v>
      </c>
      <c r="I235" s="12">
        <v>11</v>
      </c>
      <c r="J235" s="12">
        <v>11</v>
      </c>
      <c r="K235" s="12">
        <v>11</v>
      </c>
      <c r="L235" s="12">
        <v>11</v>
      </c>
      <c r="M235" s="12">
        <v>11</v>
      </c>
      <c r="O235" s="17"/>
      <c r="P235" s="20"/>
    </row>
    <row r="236" spans="1:16" ht="15.75" customHeight="1">
      <c r="A236" s="26" t="s">
        <v>17</v>
      </c>
      <c r="B236" s="17">
        <v>304170.5</v>
      </c>
      <c r="C236" s="17">
        <v>211178.25</v>
      </c>
      <c r="D236" s="17">
        <v>249821.1</v>
      </c>
      <c r="E236" s="17">
        <v>282804</v>
      </c>
      <c r="F236" s="17">
        <v>191766</v>
      </c>
      <c r="G236" s="17">
        <v>227775</v>
      </c>
      <c r="H236" s="17">
        <v>204785.5</v>
      </c>
      <c r="I236" s="17">
        <v>283184.18000000005</v>
      </c>
      <c r="J236" s="17">
        <v>418233.27999999997</v>
      </c>
      <c r="K236" s="17">
        <v>375182.56999999995</v>
      </c>
      <c r="L236" s="17">
        <v>251593.37000000002</v>
      </c>
      <c r="M236" s="17">
        <v>191892.89</v>
      </c>
      <c r="O236" s="17">
        <f t="shared" ref="O236:O238" si="12">SUM(B236:M236)</f>
        <v>3192386.64</v>
      </c>
      <c r="P236" s="20"/>
    </row>
    <row r="237" spans="1:16" ht="15.75" customHeight="1">
      <c r="A237" s="16" t="s">
        <v>18</v>
      </c>
      <c r="B237" s="17">
        <v>42583.87</v>
      </c>
      <c r="C237" s="17">
        <v>29564.960000000003</v>
      </c>
      <c r="D237" s="17">
        <v>34974.959999999999</v>
      </c>
      <c r="E237" s="17">
        <v>39592.560000000005</v>
      </c>
      <c r="F237" s="17">
        <v>26847.239999999998</v>
      </c>
      <c r="G237" s="17">
        <v>31888.5</v>
      </c>
      <c r="H237" s="17">
        <v>28669.97</v>
      </c>
      <c r="I237" s="17">
        <v>39645.78</v>
      </c>
      <c r="J237" s="17">
        <v>58552.67</v>
      </c>
      <c r="K237" s="17">
        <v>52525.56</v>
      </c>
      <c r="L237" s="17">
        <v>35223.07</v>
      </c>
      <c r="M237" s="17">
        <v>26865.01</v>
      </c>
      <c r="O237" s="17">
        <f t="shared" si="12"/>
        <v>446934.14999999997</v>
      </c>
      <c r="P237" s="20"/>
    </row>
    <row r="238" spans="1:16" ht="15.75" customHeight="1">
      <c r="A238" s="26" t="s">
        <v>19</v>
      </c>
      <c r="B238" s="17">
        <v>6083.4100000000008</v>
      </c>
      <c r="C238" s="17">
        <v>4223.57</v>
      </c>
      <c r="D238" s="17">
        <v>4996.43</v>
      </c>
      <c r="E238" s="17">
        <v>5656.08</v>
      </c>
      <c r="F238" s="17">
        <v>3835.32</v>
      </c>
      <c r="G238" s="17">
        <v>4555.5</v>
      </c>
      <c r="H238" s="17">
        <v>4095.7100000000005</v>
      </c>
      <c r="I238" s="17">
        <v>5663.68</v>
      </c>
      <c r="J238" s="17">
        <v>8364.67</v>
      </c>
      <c r="K238" s="17">
        <v>7503.66</v>
      </c>
      <c r="L238" s="17">
        <v>5031.87</v>
      </c>
      <c r="M238" s="17">
        <v>3837.86</v>
      </c>
      <c r="O238" s="17">
        <f t="shared" si="12"/>
        <v>63847.76</v>
      </c>
      <c r="P238" s="20"/>
    </row>
    <row r="239" spans="1:16" ht="15.75" customHeight="1">
      <c r="A239" s="16"/>
      <c r="B239" s="17"/>
      <c r="C239" s="17"/>
      <c r="D239" s="17"/>
      <c r="E239" s="17"/>
      <c r="F239" s="17"/>
      <c r="G239" s="17"/>
      <c r="I239" s="17"/>
      <c r="J239" s="17"/>
      <c r="K239" s="18"/>
      <c r="L239" s="17"/>
      <c r="M239" s="17"/>
      <c r="O239" s="17"/>
      <c r="P239" s="20"/>
    </row>
    <row r="240" spans="1:16" ht="15.75" customHeight="1">
      <c r="A240" s="10" t="s">
        <v>33</v>
      </c>
      <c r="B240" s="12"/>
      <c r="C240" s="12"/>
      <c r="D240" s="12"/>
      <c r="E240" s="12"/>
      <c r="F240" s="12"/>
      <c r="G240" s="12"/>
      <c r="I240" s="12"/>
      <c r="J240" s="12"/>
      <c r="K240" s="13"/>
      <c r="L240" s="12"/>
      <c r="M240" s="12"/>
      <c r="O240" s="12"/>
      <c r="P240" s="20"/>
    </row>
    <row r="241" spans="1:16" ht="15.75" customHeight="1">
      <c r="A241" s="11" t="s">
        <v>16</v>
      </c>
      <c r="B241" s="12">
        <v>126</v>
      </c>
      <c r="C241" s="34">
        <v>126</v>
      </c>
      <c r="D241" s="12">
        <v>126</v>
      </c>
      <c r="E241" s="12">
        <v>123.72</v>
      </c>
      <c r="F241" s="12">
        <v>116</v>
      </c>
      <c r="G241" s="12">
        <v>126</v>
      </c>
      <c r="H241" s="12">
        <v>143</v>
      </c>
      <c r="I241" s="12">
        <v>144</v>
      </c>
      <c r="J241" s="12">
        <v>144</v>
      </c>
      <c r="K241" s="13">
        <v>144</v>
      </c>
      <c r="L241" s="12">
        <v>144</v>
      </c>
      <c r="M241" s="12">
        <v>144</v>
      </c>
      <c r="O241" s="12"/>
      <c r="P241" s="20"/>
    </row>
    <row r="242" spans="1:16" ht="15.75" customHeight="1">
      <c r="A242" s="16" t="s">
        <v>17</v>
      </c>
      <c r="B242" s="17">
        <v>7650791.8100000005</v>
      </c>
      <c r="C242" s="17">
        <v>7301126.7400000002</v>
      </c>
      <c r="D242" s="17">
        <v>7551074.46</v>
      </c>
      <c r="E242" s="17">
        <v>8007785.3799999999</v>
      </c>
      <c r="F242" s="17">
        <v>8814451.6500000004</v>
      </c>
      <c r="G242" s="17">
        <v>8848630.5599999987</v>
      </c>
      <c r="H242" s="17">
        <v>8603065.5799999982</v>
      </c>
      <c r="I242" s="17">
        <v>8292457.5900000008</v>
      </c>
      <c r="J242" s="17">
        <v>8229283.4800000004</v>
      </c>
      <c r="K242" s="18">
        <v>7820665.1100000003</v>
      </c>
      <c r="L242" s="17">
        <v>8024648.5399999991</v>
      </c>
      <c r="M242" s="17">
        <v>7426113.5100000007</v>
      </c>
      <c r="O242" s="17">
        <f>SUM(B242:M242)</f>
        <v>96570094.410000011</v>
      </c>
      <c r="P242" s="20"/>
    </row>
    <row r="243" spans="1:16" ht="15.75" customHeight="1">
      <c r="A243" s="16" t="s">
        <v>18</v>
      </c>
      <c r="B243" s="17">
        <v>1071110.8699999999</v>
      </c>
      <c r="C243" s="17">
        <v>1022157.75</v>
      </c>
      <c r="D243" s="17">
        <v>1057150.44</v>
      </c>
      <c r="E243" s="17">
        <v>1121089.97</v>
      </c>
      <c r="F243" s="17">
        <v>1234023.25</v>
      </c>
      <c r="G243" s="17">
        <v>1256945.83</v>
      </c>
      <c r="H243" s="17">
        <v>1256148.94</v>
      </c>
      <c r="I243" s="17">
        <v>1222802.5499999998</v>
      </c>
      <c r="J243" s="17">
        <v>1208366.9099999999</v>
      </c>
      <c r="K243" s="18">
        <v>1168000.06</v>
      </c>
      <c r="L243" s="17">
        <v>1194917.9999999998</v>
      </c>
      <c r="M243" s="17">
        <v>1114215.05</v>
      </c>
      <c r="O243" s="17">
        <f>SUM(B243:M243)</f>
        <v>13926929.619999999</v>
      </c>
      <c r="P243" s="20"/>
    </row>
    <row r="244" spans="1:16" ht="15.75" customHeight="1">
      <c r="A244" s="16" t="s">
        <v>19</v>
      </c>
      <c r="B244" s="17">
        <v>153015.86000000002</v>
      </c>
      <c r="C244" s="17">
        <v>146022.54</v>
      </c>
      <c r="D244" s="17">
        <v>151021.5</v>
      </c>
      <c r="E244" s="17">
        <v>160155.72</v>
      </c>
      <c r="F244" s="17">
        <v>176289.05</v>
      </c>
      <c r="G244" s="17">
        <v>176972.65</v>
      </c>
      <c r="H244" s="17">
        <v>172061.31999999998</v>
      </c>
      <c r="I244" s="17">
        <v>165849.15999999997</v>
      </c>
      <c r="J244" s="17">
        <v>164585.68</v>
      </c>
      <c r="K244" s="18">
        <v>156413.31</v>
      </c>
      <c r="L244" s="17">
        <v>160492.96999999997</v>
      </c>
      <c r="M244" s="17">
        <v>148522.29999999999</v>
      </c>
      <c r="O244" s="17">
        <f>SUM(B244:M244)</f>
        <v>1931402.0599999998</v>
      </c>
      <c r="P244" s="20"/>
    </row>
    <row r="245" spans="1:16" ht="15.75" customHeight="1">
      <c r="A245" s="11" t="s">
        <v>20</v>
      </c>
      <c r="B245" s="12">
        <v>28</v>
      </c>
      <c r="C245" s="12">
        <v>28</v>
      </c>
      <c r="D245" s="12">
        <v>28</v>
      </c>
      <c r="E245" s="12">
        <v>28</v>
      </c>
      <c r="F245" s="12">
        <v>28</v>
      </c>
      <c r="G245" s="12">
        <v>28</v>
      </c>
      <c r="H245" s="12">
        <v>28</v>
      </c>
      <c r="I245" s="12">
        <v>28</v>
      </c>
      <c r="J245" s="12">
        <v>28</v>
      </c>
      <c r="K245" s="13">
        <v>28</v>
      </c>
      <c r="L245" s="12">
        <v>28</v>
      </c>
      <c r="M245" s="12">
        <v>28</v>
      </c>
      <c r="O245" s="12"/>
      <c r="P245" s="20"/>
    </row>
    <row r="246" spans="1:16" ht="15.75" customHeight="1">
      <c r="A246" s="16" t="s">
        <v>17</v>
      </c>
      <c r="B246" s="17">
        <v>661692</v>
      </c>
      <c r="C246" s="17">
        <v>561914</v>
      </c>
      <c r="D246" s="17">
        <v>561839</v>
      </c>
      <c r="E246" s="17">
        <v>557097</v>
      </c>
      <c r="F246" s="17">
        <v>549660</v>
      </c>
      <c r="G246" s="17">
        <v>554617</v>
      </c>
      <c r="H246" s="17">
        <v>608621</v>
      </c>
      <c r="I246" s="17">
        <v>613990</v>
      </c>
      <c r="J246" s="17">
        <v>675176</v>
      </c>
      <c r="K246" s="18">
        <v>657187</v>
      </c>
      <c r="L246" s="17">
        <v>590648</v>
      </c>
      <c r="M246" s="17">
        <v>490139</v>
      </c>
      <c r="O246" s="17">
        <f>SUM(B246:M246)</f>
        <v>7082580</v>
      </c>
      <c r="P246" s="20"/>
    </row>
    <row r="247" spans="1:16" ht="15.75" customHeight="1">
      <c r="A247" s="16" t="s">
        <v>18</v>
      </c>
      <c r="B247" s="17">
        <v>92636.87999999999</v>
      </c>
      <c r="C247" s="17">
        <v>78667.960000000006</v>
      </c>
      <c r="D247" s="17">
        <v>78657.460000000006</v>
      </c>
      <c r="E247" s="17">
        <v>77993.580000000016</v>
      </c>
      <c r="F247" s="17">
        <v>76952.399999999994</v>
      </c>
      <c r="G247" s="17">
        <v>77646.38</v>
      </c>
      <c r="H247" s="17">
        <v>85206.94</v>
      </c>
      <c r="I247" s="17">
        <v>85958.6</v>
      </c>
      <c r="J247" s="17">
        <v>94524.639999999985</v>
      </c>
      <c r="K247" s="18">
        <v>92006.18</v>
      </c>
      <c r="L247" s="17">
        <v>82690.720000000001</v>
      </c>
      <c r="M247" s="17">
        <v>68619.459999999992</v>
      </c>
      <c r="O247" s="17">
        <f>SUM(B247:M247)</f>
        <v>991561.2</v>
      </c>
      <c r="P247" s="20"/>
    </row>
    <row r="248" spans="1:16" ht="15.75" customHeight="1">
      <c r="A248" s="16" t="s">
        <v>19</v>
      </c>
      <c r="B248" s="17">
        <v>13233.84</v>
      </c>
      <c r="C248" s="17">
        <v>11238.279999999999</v>
      </c>
      <c r="D248" s="17">
        <v>11236.780000000002</v>
      </c>
      <c r="E248" s="17">
        <v>11141.94</v>
      </c>
      <c r="F248" s="17">
        <v>10993.2</v>
      </c>
      <c r="G248" s="17">
        <v>11092.34</v>
      </c>
      <c r="H248" s="17">
        <v>12172.42</v>
      </c>
      <c r="I248" s="17">
        <v>12279.8</v>
      </c>
      <c r="J248" s="17">
        <v>13503.520000000002</v>
      </c>
      <c r="K248" s="18">
        <v>13143.74</v>
      </c>
      <c r="L248" s="17">
        <v>11812.960000000001</v>
      </c>
      <c r="M248" s="17">
        <v>9802.7800000000007</v>
      </c>
      <c r="O248" s="17">
        <f>SUM(B248:M248)</f>
        <v>141651.6</v>
      </c>
      <c r="P248" s="20"/>
    </row>
    <row r="249" spans="1:16" ht="15.75" customHeight="1">
      <c r="A249" s="11" t="s">
        <v>21</v>
      </c>
      <c r="B249" s="12">
        <v>87</v>
      </c>
      <c r="C249" s="12">
        <v>87</v>
      </c>
      <c r="D249" s="12">
        <v>87</v>
      </c>
      <c r="E249" s="12">
        <v>84</v>
      </c>
      <c r="F249" s="12">
        <v>78</v>
      </c>
      <c r="G249" s="12">
        <v>78</v>
      </c>
      <c r="H249" s="12">
        <v>78</v>
      </c>
      <c r="I249" s="12">
        <v>78</v>
      </c>
      <c r="J249" s="12">
        <v>78</v>
      </c>
      <c r="K249" s="13">
        <v>78</v>
      </c>
      <c r="L249" s="12">
        <v>78</v>
      </c>
      <c r="M249" s="12">
        <v>78</v>
      </c>
      <c r="O249" s="12"/>
      <c r="P249" s="20"/>
    </row>
    <row r="250" spans="1:16" ht="15.75" customHeight="1">
      <c r="A250" s="16" t="s">
        <v>17</v>
      </c>
      <c r="B250" s="17">
        <v>6744673.75</v>
      </c>
      <c r="C250" s="17">
        <v>6483423.5</v>
      </c>
      <c r="D250" s="17">
        <v>6810351.25</v>
      </c>
      <c r="E250" s="17">
        <v>7251778.25</v>
      </c>
      <c r="F250" s="17">
        <v>8162719.75</v>
      </c>
      <c r="G250" s="17">
        <v>8168802.5</v>
      </c>
      <c r="H250" s="17">
        <v>7668630</v>
      </c>
      <c r="I250" s="17">
        <v>7303639.25</v>
      </c>
      <c r="J250" s="17">
        <v>7193347.5</v>
      </c>
      <c r="K250" s="18">
        <v>6783417</v>
      </c>
      <c r="L250" s="17">
        <v>7011720</v>
      </c>
      <c r="M250" s="17">
        <v>6545117.75</v>
      </c>
      <c r="O250" s="17">
        <f t="shared" ref="O250:O256" si="13">SUM(B250:M250)</f>
        <v>86127620.5</v>
      </c>
      <c r="P250" s="20"/>
    </row>
    <row r="251" spans="1:16" ht="15.75" customHeight="1">
      <c r="A251" s="16" t="s">
        <v>18</v>
      </c>
      <c r="B251" s="17">
        <v>944254.34999999986</v>
      </c>
      <c r="C251" s="17">
        <v>907679.29999999993</v>
      </c>
      <c r="D251" s="17">
        <v>953449.19</v>
      </c>
      <c r="E251" s="17">
        <v>1015248.97</v>
      </c>
      <c r="F251" s="17">
        <v>1142780.78</v>
      </c>
      <c r="G251" s="17">
        <v>1143632.3699999999</v>
      </c>
      <c r="H251" s="17">
        <v>1073608.2199999997</v>
      </c>
      <c r="I251" s="17">
        <v>1022509.4999999999</v>
      </c>
      <c r="J251" s="17">
        <v>1007068.6599999999</v>
      </c>
      <c r="K251" s="18">
        <v>949678.40000000014</v>
      </c>
      <c r="L251" s="17">
        <v>981640.80999999994</v>
      </c>
      <c r="M251" s="17">
        <v>916316.49999999988</v>
      </c>
      <c r="O251" s="17">
        <f t="shared" si="13"/>
        <v>12057867.050000001</v>
      </c>
      <c r="P251" s="20"/>
    </row>
    <row r="252" spans="1:16" ht="15.75" customHeight="1">
      <c r="A252" s="16" t="s">
        <v>19</v>
      </c>
      <c r="B252" s="17">
        <v>134893.5</v>
      </c>
      <c r="C252" s="17">
        <v>129668.47999999998</v>
      </c>
      <c r="D252" s="17">
        <v>136207.04000000001</v>
      </c>
      <c r="E252" s="17">
        <v>145035.58000000002</v>
      </c>
      <c r="F252" s="17">
        <v>163254.41</v>
      </c>
      <c r="G252" s="17">
        <v>163376.07</v>
      </c>
      <c r="H252" s="17">
        <v>153372.61999999997</v>
      </c>
      <c r="I252" s="17">
        <v>146072.79</v>
      </c>
      <c r="J252" s="17">
        <v>143866.96</v>
      </c>
      <c r="K252" s="18">
        <v>135668.35999999999</v>
      </c>
      <c r="L252" s="17">
        <v>140234.40999999997</v>
      </c>
      <c r="M252" s="17">
        <v>130902.37</v>
      </c>
      <c r="O252" s="17">
        <f t="shared" si="13"/>
        <v>1722552.5899999999</v>
      </c>
      <c r="P252" s="20"/>
    </row>
    <row r="253" spans="1:16" ht="15.75" customHeight="1">
      <c r="A253" s="11" t="s">
        <v>22</v>
      </c>
      <c r="B253" s="12">
        <v>0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3">
        <v>0</v>
      </c>
      <c r="L253" s="13">
        <v>0</v>
      </c>
      <c r="M253" s="13">
        <v>0</v>
      </c>
      <c r="O253" s="12"/>
      <c r="P253" s="20"/>
    </row>
    <row r="254" spans="1:16" ht="15.75" customHeight="1">
      <c r="A254" s="16" t="s">
        <v>17</v>
      </c>
      <c r="B254" s="17">
        <v>0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8">
        <v>0</v>
      </c>
      <c r="L254" s="17">
        <v>0</v>
      </c>
      <c r="M254" s="17">
        <v>0</v>
      </c>
      <c r="O254" s="17">
        <f t="shared" si="13"/>
        <v>0</v>
      </c>
      <c r="P254" s="20"/>
    </row>
    <row r="255" spans="1:16" ht="15.75" customHeight="1">
      <c r="A255" s="16" t="s">
        <v>18</v>
      </c>
      <c r="B255" s="17">
        <v>0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8">
        <v>0</v>
      </c>
      <c r="L255" s="17">
        <v>0</v>
      </c>
      <c r="M255" s="17">
        <v>0</v>
      </c>
      <c r="O255" s="17">
        <f t="shared" si="13"/>
        <v>0</v>
      </c>
      <c r="P255" s="20"/>
    </row>
    <row r="256" spans="1:16" ht="15.75" customHeight="1">
      <c r="A256" s="16" t="s">
        <v>19</v>
      </c>
      <c r="B256" s="17">
        <v>0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8">
        <v>0</v>
      </c>
      <c r="L256" s="17">
        <v>0</v>
      </c>
      <c r="M256" s="17">
        <v>0</v>
      </c>
      <c r="O256" s="17">
        <f t="shared" si="13"/>
        <v>0</v>
      </c>
      <c r="P256" s="20"/>
    </row>
    <row r="257" spans="1:16" ht="15.75" customHeight="1">
      <c r="A257" s="11" t="s">
        <v>23</v>
      </c>
      <c r="B257" s="12">
        <v>0</v>
      </c>
      <c r="C257" s="12">
        <v>0</v>
      </c>
      <c r="D257" s="12">
        <v>0</v>
      </c>
      <c r="E257" s="12">
        <v>0</v>
      </c>
      <c r="F257" s="12">
        <v>0</v>
      </c>
      <c r="G257" s="12">
        <v>10</v>
      </c>
      <c r="H257" s="12">
        <v>25</v>
      </c>
      <c r="I257" s="12">
        <v>25</v>
      </c>
      <c r="J257" s="12">
        <v>25</v>
      </c>
      <c r="K257" s="13">
        <v>25</v>
      </c>
      <c r="L257" s="12">
        <v>25</v>
      </c>
      <c r="M257" s="12">
        <v>25</v>
      </c>
      <c r="O257" s="12"/>
      <c r="P257" s="20"/>
    </row>
    <row r="258" spans="1:16" ht="15.75" customHeight="1">
      <c r="A258" s="16" t="s">
        <v>17</v>
      </c>
      <c r="B258" s="17">
        <v>0</v>
      </c>
      <c r="C258" s="17">
        <v>0</v>
      </c>
      <c r="D258" s="17">
        <v>0</v>
      </c>
      <c r="E258" s="17">
        <v>0</v>
      </c>
      <c r="F258" s="17">
        <v>0</v>
      </c>
      <c r="G258" s="17">
        <v>53345.659999999996</v>
      </c>
      <c r="H258" s="17">
        <v>152116.85999999999</v>
      </c>
      <c r="I258" s="17">
        <v>181936.74000000002</v>
      </c>
      <c r="J258" s="17">
        <v>165491.79999999999</v>
      </c>
      <c r="K258" s="18">
        <v>215020.36</v>
      </c>
      <c r="L258" s="17">
        <v>210197.59</v>
      </c>
      <c r="M258" s="17">
        <v>219291.61000000002</v>
      </c>
      <c r="O258" s="17">
        <f t="shared" ref="O258:O264" si="14">SUM(B258:M258)</f>
        <v>1197400.6200000001</v>
      </c>
      <c r="P258" s="20"/>
    </row>
    <row r="259" spans="1:16" ht="15.75" customHeight="1">
      <c r="A259" s="16" t="s">
        <v>18</v>
      </c>
      <c r="B259" s="17">
        <v>0</v>
      </c>
      <c r="C259" s="17">
        <v>0</v>
      </c>
      <c r="D259" s="17">
        <v>0</v>
      </c>
      <c r="E259" s="17">
        <v>0</v>
      </c>
      <c r="F259" s="17">
        <v>0</v>
      </c>
      <c r="G259" s="17">
        <v>25605.920000000002</v>
      </c>
      <c r="H259" s="17">
        <v>73016.08</v>
      </c>
      <c r="I259" s="17">
        <v>87329.64</v>
      </c>
      <c r="J259" s="17">
        <v>79436.070000000007</v>
      </c>
      <c r="K259" s="18">
        <v>103209.76999999999</v>
      </c>
      <c r="L259" s="17">
        <v>100894.84999999999</v>
      </c>
      <c r="M259" s="17">
        <v>105259.97</v>
      </c>
      <c r="O259" s="17">
        <f t="shared" si="14"/>
        <v>574752.29999999993</v>
      </c>
      <c r="P259" s="20"/>
    </row>
    <row r="260" spans="1:16" ht="15.75" customHeight="1">
      <c r="A260" s="16" t="s">
        <v>19</v>
      </c>
      <c r="B260" s="17">
        <v>0</v>
      </c>
      <c r="C260" s="17">
        <v>0</v>
      </c>
      <c r="D260" s="17">
        <v>0</v>
      </c>
      <c r="E260" s="17">
        <v>0</v>
      </c>
      <c r="F260" s="17">
        <v>0</v>
      </c>
      <c r="G260" s="17">
        <v>1066.92</v>
      </c>
      <c r="H260" s="17">
        <v>3042.3300000000004</v>
      </c>
      <c r="I260" s="17">
        <v>3638.74</v>
      </c>
      <c r="J260" s="17">
        <v>3309.84</v>
      </c>
      <c r="K260" s="18">
        <v>4300.3999999999996</v>
      </c>
      <c r="L260" s="17">
        <v>4203.9399999999996</v>
      </c>
      <c r="M260" s="17">
        <v>4385.84</v>
      </c>
      <c r="O260" s="17">
        <f t="shared" si="14"/>
        <v>23948.01</v>
      </c>
      <c r="P260" s="20"/>
    </row>
    <row r="261" spans="1:16" ht="15.75" customHeight="1">
      <c r="A261" s="25" t="s">
        <v>24</v>
      </c>
      <c r="B261" s="12">
        <v>11</v>
      </c>
      <c r="C261" s="12">
        <v>11</v>
      </c>
      <c r="D261" s="12">
        <v>11</v>
      </c>
      <c r="E261" s="12">
        <v>10.433333333333334</v>
      </c>
      <c r="F261" s="12">
        <v>10</v>
      </c>
      <c r="G261" s="12">
        <v>10</v>
      </c>
      <c r="H261" s="12">
        <v>12</v>
      </c>
      <c r="I261" s="12">
        <v>13</v>
      </c>
      <c r="J261" s="12">
        <v>13</v>
      </c>
      <c r="K261" s="13">
        <v>13</v>
      </c>
      <c r="L261" s="13">
        <v>13</v>
      </c>
      <c r="M261" s="13">
        <v>13</v>
      </c>
      <c r="O261" s="17"/>
      <c r="P261" s="20"/>
    </row>
    <row r="262" spans="1:16" ht="15.75" customHeight="1">
      <c r="A262" s="26" t="s">
        <v>17</v>
      </c>
      <c r="B262" s="17">
        <v>244426.06</v>
      </c>
      <c r="C262" s="17">
        <v>255789.24000000002</v>
      </c>
      <c r="D262" s="17">
        <v>178884.21</v>
      </c>
      <c r="E262" s="17">
        <v>198910.12999999998</v>
      </c>
      <c r="F262" s="17">
        <v>102071.9</v>
      </c>
      <c r="G262" s="17">
        <v>71865.399999999994</v>
      </c>
      <c r="H262" s="17">
        <v>173697.71999999997</v>
      </c>
      <c r="I262" s="17">
        <v>192891.59999999998</v>
      </c>
      <c r="J262" s="17">
        <v>195268.18000000002</v>
      </c>
      <c r="K262" s="18">
        <v>165040.75</v>
      </c>
      <c r="L262" s="17">
        <v>212082.94999999998</v>
      </c>
      <c r="M262" s="17">
        <v>171565.15</v>
      </c>
      <c r="O262" s="17">
        <f t="shared" si="14"/>
        <v>2162493.2899999996</v>
      </c>
      <c r="P262" s="20"/>
    </row>
    <row r="263" spans="1:16" ht="15.75" customHeight="1">
      <c r="A263" s="16" t="s">
        <v>18</v>
      </c>
      <c r="B263" s="17">
        <v>34219.64</v>
      </c>
      <c r="C263" s="17">
        <v>35810.49</v>
      </c>
      <c r="D263" s="17">
        <v>25043.79</v>
      </c>
      <c r="E263" s="17">
        <v>27847.42</v>
      </c>
      <c r="F263" s="17">
        <v>14290.070000000002</v>
      </c>
      <c r="G263" s="17">
        <v>10061.16</v>
      </c>
      <c r="H263" s="17">
        <v>24317.7</v>
      </c>
      <c r="I263" s="17">
        <v>27004.810000000005</v>
      </c>
      <c r="J263" s="17">
        <v>27337.540000000005</v>
      </c>
      <c r="K263" s="18">
        <v>23105.71</v>
      </c>
      <c r="L263" s="17">
        <v>29691.62</v>
      </c>
      <c r="M263" s="17">
        <v>24019.119999999999</v>
      </c>
      <c r="O263" s="17">
        <f t="shared" si="14"/>
        <v>302749.07</v>
      </c>
      <c r="P263" s="20"/>
    </row>
    <row r="264" spans="1:16" ht="15.75" customHeight="1">
      <c r="A264" s="26" t="s">
        <v>19</v>
      </c>
      <c r="B264" s="17">
        <v>4888.5200000000004</v>
      </c>
      <c r="C264" s="17">
        <v>5115.7800000000007</v>
      </c>
      <c r="D264" s="17">
        <v>3577.6800000000003</v>
      </c>
      <c r="E264" s="17">
        <v>3978.2</v>
      </c>
      <c r="F264" s="17">
        <v>2041.4399999999998</v>
      </c>
      <c r="G264" s="17">
        <v>1437.3200000000002</v>
      </c>
      <c r="H264" s="17">
        <v>3473.9500000000003</v>
      </c>
      <c r="I264" s="17">
        <v>3857.8300000000004</v>
      </c>
      <c r="J264" s="17">
        <v>3905.36</v>
      </c>
      <c r="K264" s="18">
        <v>3300.81</v>
      </c>
      <c r="L264" s="17">
        <v>4241.6600000000008</v>
      </c>
      <c r="M264" s="17">
        <v>3431.31</v>
      </c>
      <c r="O264" s="17">
        <f t="shared" si="14"/>
        <v>43249.86</v>
      </c>
      <c r="P264" s="20"/>
    </row>
    <row r="265" spans="1:16" ht="15.75" customHeight="1">
      <c r="B265" s="27"/>
      <c r="C265" s="17"/>
      <c r="D265" s="17"/>
      <c r="E265" s="27"/>
      <c r="F265" s="27"/>
      <c r="G265" s="27"/>
      <c r="I265" s="27"/>
      <c r="J265" s="27"/>
      <c r="K265" s="28"/>
      <c r="L265" s="17"/>
      <c r="M265" s="17"/>
      <c r="O265" s="27"/>
      <c r="P265" s="20"/>
    </row>
    <row r="266" spans="1:16" ht="15.75" customHeight="1">
      <c r="A266" s="10" t="s">
        <v>34</v>
      </c>
      <c r="B266" s="27"/>
      <c r="C266" s="17"/>
      <c r="D266" s="17"/>
      <c r="E266" s="27"/>
      <c r="F266" s="27"/>
      <c r="G266" s="27"/>
      <c r="I266" s="27"/>
      <c r="J266" s="27"/>
      <c r="K266" s="28"/>
      <c r="L266" s="17"/>
      <c r="M266" s="17"/>
      <c r="O266" s="27"/>
      <c r="P266" s="20"/>
    </row>
    <row r="267" spans="1:16" ht="15.75" customHeight="1">
      <c r="A267" s="11" t="s">
        <v>16</v>
      </c>
      <c r="B267" s="12">
        <v>50</v>
      </c>
      <c r="C267" s="34">
        <v>50</v>
      </c>
      <c r="D267" s="12">
        <v>50</v>
      </c>
      <c r="E267" s="12">
        <v>50</v>
      </c>
      <c r="F267" s="12">
        <v>50</v>
      </c>
      <c r="G267" s="12">
        <v>50</v>
      </c>
      <c r="H267" s="12">
        <v>50</v>
      </c>
      <c r="I267" s="12">
        <v>50</v>
      </c>
      <c r="J267" s="12">
        <v>50</v>
      </c>
      <c r="K267" s="13">
        <v>50</v>
      </c>
      <c r="L267" s="12">
        <v>50</v>
      </c>
      <c r="M267" s="12">
        <v>50</v>
      </c>
      <c r="O267" s="12"/>
      <c r="P267" s="20"/>
    </row>
    <row r="268" spans="1:16" ht="15.75" customHeight="1">
      <c r="A268" s="16" t="s">
        <v>17</v>
      </c>
      <c r="B268" s="17">
        <v>2991752</v>
      </c>
      <c r="C268" s="17">
        <v>2489047.6999999997</v>
      </c>
      <c r="D268" s="17">
        <v>2666472.9</v>
      </c>
      <c r="E268" s="17">
        <v>2660950.25</v>
      </c>
      <c r="F268" s="17">
        <v>1804717.0200000003</v>
      </c>
      <c r="G268" s="17">
        <v>2546573.15</v>
      </c>
      <c r="H268" s="17">
        <v>2948224.42</v>
      </c>
      <c r="I268" s="17">
        <v>2410406</v>
      </c>
      <c r="J268" s="17">
        <v>2904805.37</v>
      </c>
      <c r="K268" s="18">
        <v>2645245.7599999998</v>
      </c>
      <c r="L268" s="17">
        <v>2898490.4</v>
      </c>
      <c r="M268" s="17">
        <v>2787334.45</v>
      </c>
      <c r="O268" s="17">
        <f>SUM(B268:M268)</f>
        <v>31754019.419999998</v>
      </c>
      <c r="P268" s="20"/>
    </row>
    <row r="269" spans="1:16" ht="15.75" customHeight="1">
      <c r="A269" s="16" t="s">
        <v>18</v>
      </c>
      <c r="B269" s="17">
        <v>418845.29</v>
      </c>
      <c r="C269" s="17">
        <v>348466.68999999994</v>
      </c>
      <c r="D269" s="17">
        <v>373306.21</v>
      </c>
      <c r="E269" s="17">
        <v>372533.05</v>
      </c>
      <c r="F269" s="17">
        <v>252660.38999999996</v>
      </c>
      <c r="G269" s="17">
        <v>356520.25</v>
      </c>
      <c r="H269" s="17">
        <v>412751.43999999994</v>
      </c>
      <c r="I269" s="17">
        <v>337456.85000000003</v>
      </c>
      <c r="J269" s="17">
        <v>406672.76</v>
      </c>
      <c r="K269" s="18">
        <v>370334.41</v>
      </c>
      <c r="L269" s="17">
        <v>405788.67</v>
      </c>
      <c r="M269" s="17">
        <v>390226.83</v>
      </c>
      <c r="O269" s="17">
        <f>SUM(B269:M269)</f>
        <v>4445562.84</v>
      </c>
      <c r="P269" s="20"/>
    </row>
    <row r="270" spans="1:16" ht="15.75" customHeight="1">
      <c r="A270" s="16" t="s">
        <v>19</v>
      </c>
      <c r="B270" s="17">
        <v>59835.05000000001</v>
      </c>
      <c r="C270" s="17">
        <v>49780.97</v>
      </c>
      <c r="D270" s="17">
        <v>53329.47</v>
      </c>
      <c r="E270" s="17">
        <v>53219.020000000004</v>
      </c>
      <c r="F270" s="17">
        <v>36094.340000000004</v>
      </c>
      <c r="G270" s="17">
        <v>50931.47</v>
      </c>
      <c r="H270" s="17">
        <v>58964.509999999995</v>
      </c>
      <c r="I270" s="17">
        <v>48208.13</v>
      </c>
      <c r="J270" s="17">
        <v>58096.119999999995</v>
      </c>
      <c r="K270" s="18">
        <v>52904.91</v>
      </c>
      <c r="L270" s="17">
        <v>57969.820000000007</v>
      </c>
      <c r="M270" s="17">
        <v>55746.7</v>
      </c>
      <c r="O270" s="17">
        <f>SUM(B270:M270)</f>
        <v>635080.51</v>
      </c>
      <c r="P270" s="20"/>
    </row>
    <row r="271" spans="1:16" ht="15.75" customHeight="1">
      <c r="A271" s="11" t="s">
        <v>20</v>
      </c>
      <c r="B271" s="12">
        <v>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3">
        <v>0</v>
      </c>
      <c r="L271" s="13">
        <v>0</v>
      </c>
      <c r="M271" s="12">
        <v>0</v>
      </c>
      <c r="O271" s="12"/>
      <c r="P271" s="20"/>
    </row>
    <row r="272" spans="1:16" ht="15.75" customHeight="1">
      <c r="A272" s="16" t="s">
        <v>17</v>
      </c>
      <c r="B272" s="17">
        <v>0</v>
      </c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8">
        <v>0</v>
      </c>
      <c r="L272" s="17">
        <v>0</v>
      </c>
      <c r="M272" s="17">
        <v>0</v>
      </c>
      <c r="O272" s="17">
        <f>SUM(B272:M272)</f>
        <v>0</v>
      </c>
      <c r="P272" s="20"/>
    </row>
    <row r="273" spans="1:16" ht="15.75" customHeight="1">
      <c r="A273" s="16" t="s">
        <v>18</v>
      </c>
      <c r="B273" s="17">
        <v>0</v>
      </c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8">
        <v>0</v>
      </c>
      <c r="L273" s="17">
        <v>0</v>
      </c>
      <c r="M273" s="17">
        <v>0</v>
      </c>
      <c r="O273" s="17">
        <f>SUM(B273:M273)</f>
        <v>0</v>
      </c>
      <c r="P273" s="20"/>
    </row>
    <row r="274" spans="1:16" ht="15.75" customHeight="1">
      <c r="A274" s="16" t="s">
        <v>19</v>
      </c>
      <c r="B274" s="17">
        <v>0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8">
        <v>0</v>
      </c>
      <c r="L274" s="17">
        <v>0</v>
      </c>
      <c r="M274" s="17">
        <v>0</v>
      </c>
      <c r="O274" s="17">
        <f>SUM(B274:M274)</f>
        <v>0</v>
      </c>
      <c r="P274" s="20"/>
    </row>
    <row r="275" spans="1:16" ht="15.75" customHeight="1">
      <c r="A275" s="11" t="s">
        <v>21</v>
      </c>
      <c r="B275" s="12">
        <v>50</v>
      </c>
      <c r="C275" s="12">
        <v>50</v>
      </c>
      <c r="D275" s="12">
        <v>50</v>
      </c>
      <c r="E275" s="12">
        <v>50</v>
      </c>
      <c r="F275" s="12">
        <v>50</v>
      </c>
      <c r="G275" s="12">
        <v>50</v>
      </c>
      <c r="H275" s="12">
        <v>50</v>
      </c>
      <c r="I275" s="12">
        <v>50</v>
      </c>
      <c r="J275" s="12">
        <v>50</v>
      </c>
      <c r="K275" s="13">
        <v>50</v>
      </c>
      <c r="L275" s="12">
        <v>50</v>
      </c>
      <c r="M275" s="12">
        <v>50</v>
      </c>
      <c r="O275" s="12"/>
      <c r="P275" s="20"/>
    </row>
    <row r="276" spans="1:16" ht="15.75" customHeight="1">
      <c r="A276" s="16" t="s">
        <v>17</v>
      </c>
      <c r="B276" s="17">
        <v>2991752</v>
      </c>
      <c r="C276" s="17">
        <v>2489047.6999999997</v>
      </c>
      <c r="D276" s="17">
        <v>2666472.9</v>
      </c>
      <c r="E276" s="17">
        <v>2660950.25</v>
      </c>
      <c r="F276" s="17">
        <v>1804717.0200000003</v>
      </c>
      <c r="G276" s="17">
        <v>2546573.15</v>
      </c>
      <c r="H276" s="17">
        <v>2948224.42</v>
      </c>
      <c r="I276" s="17">
        <v>2410406</v>
      </c>
      <c r="J276" s="17">
        <v>2904805.37</v>
      </c>
      <c r="K276" s="18">
        <v>2645245.7599999998</v>
      </c>
      <c r="L276" s="17">
        <v>2898490.4</v>
      </c>
      <c r="M276" s="17">
        <v>2787334.45</v>
      </c>
      <c r="O276" s="17">
        <f t="shared" ref="O276:O286" si="15">SUM(B276:M276)</f>
        <v>31754019.419999998</v>
      </c>
      <c r="P276" s="20"/>
    </row>
    <row r="277" spans="1:16" ht="15.75" customHeight="1">
      <c r="A277" s="16" t="s">
        <v>18</v>
      </c>
      <c r="B277" s="17">
        <v>418845.29</v>
      </c>
      <c r="C277" s="17">
        <v>348466.68999999994</v>
      </c>
      <c r="D277" s="17">
        <v>373306.21</v>
      </c>
      <c r="E277" s="17">
        <v>372533.05</v>
      </c>
      <c r="F277" s="17">
        <v>252660.38999999996</v>
      </c>
      <c r="G277" s="17">
        <v>356520.25</v>
      </c>
      <c r="H277" s="17">
        <v>412751.43999999994</v>
      </c>
      <c r="I277" s="17">
        <v>337456.85000000003</v>
      </c>
      <c r="J277" s="17">
        <v>406672.76</v>
      </c>
      <c r="K277" s="18">
        <v>370334.41</v>
      </c>
      <c r="L277" s="17">
        <v>405788.67</v>
      </c>
      <c r="M277" s="17">
        <v>390226.83</v>
      </c>
      <c r="O277" s="17">
        <f t="shared" si="15"/>
        <v>4445562.84</v>
      </c>
      <c r="P277" s="20"/>
    </row>
    <row r="278" spans="1:16" ht="15.75" customHeight="1">
      <c r="A278" s="16" t="s">
        <v>19</v>
      </c>
      <c r="B278" s="17">
        <v>59835.05000000001</v>
      </c>
      <c r="C278" s="17">
        <v>49780.97</v>
      </c>
      <c r="D278" s="17">
        <v>53329.47</v>
      </c>
      <c r="E278" s="17">
        <v>53219.020000000004</v>
      </c>
      <c r="F278" s="17">
        <v>36094.340000000004</v>
      </c>
      <c r="G278" s="17">
        <v>50931.47</v>
      </c>
      <c r="H278" s="17">
        <v>58964.509999999995</v>
      </c>
      <c r="I278" s="17">
        <v>48208.13</v>
      </c>
      <c r="J278" s="17">
        <v>58096.119999999995</v>
      </c>
      <c r="K278" s="18">
        <v>52904.91</v>
      </c>
      <c r="L278" s="17">
        <v>57969.820000000007</v>
      </c>
      <c r="M278" s="17">
        <v>55746.7</v>
      </c>
      <c r="O278" s="17">
        <f t="shared" si="15"/>
        <v>635080.51</v>
      </c>
      <c r="P278" s="20"/>
    </row>
    <row r="279" spans="1:16" ht="15.75" customHeight="1">
      <c r="A279" s="11" t="s">
        <v>22</v>
      </c>
      <c r="B279" s="12">
        <v>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3">
        <v>0</v>
      </c>
      <c r="L279" s="13">
        <v>0</v>
      </c>
      <c r="M279" s="12">
        <v>0</v>
      </c>
      <c r="O279" s="12"/>
      <c r="P279" s="20"/>
    </row>
    <row r="280" spans="1:16" ht="15.75" customHeight="1">
      <c r="A280" s="16" t="s">
        <v>17</v>
      </c>
      <c r="B280" s="17">
        <v>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8">
        <v>0</v>
      </c>
      <c r="L280" s="17">
        <v>0</v>
      </c>
      <c r="M280" s="17">
        <v>0</v>
      </c>
      <c r="O280" s="17">
        <f t="shared" si="15"/>
        <v>0</v>
      </c>
      <c r="P280" s="20"/>
    </row>
    <row r="281" spans="1:16" ht="15.75" customHeight="1">
      <c r="A281" s="16" t="s">
        <v>18</v>
      </c>
      <c r="B281" s="17">
        <v>0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8">
        <v>0</v>
      </c>
      <c r="L281" s="17">
        <v>0</v>
      </c>
      <c r="M281" s="17">
        <v>0</v>
      </c>
      <c r="O281" s="17">
        <f t="shared" si="15"/>
        <v>0</v>
      </c>
      <c r="P281" s="20"/>
    </row>
    <row r="282" spans="1:16" ht="15.75" customHeight="1">
      <c r="A282" s="16" t="s">
        <v>19</v>
      </c>
      <c r="B282" s="17">
        <v>0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8">
        <v>0</v>
      </c>
      <c r="L282" s="17">
        <v>0</v>
      </c>
      <c r="M282" s="17">
        <v>0</v>
      </c>
      <c r="O282" s="17">
        <f t="shared" si="15"/>
        <v>0</v>
      </c>
      <c r="P282" s="20"/>
    </row>
    <row r="283" spans="1:16" ht="15.75" customHeight="1">
      <c r="A283" s="11" t="s">
        <v>23</v>
      </c>
      <c r="B283" s="12">
        <v>0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3">
        <v>0</v>
      </c>
      <c r="L283" s="13">
        <v>0</v>
      </c>
      <c r="M283" s="12">
        <v>0</v>
      </c>
      <c r="O283" s="12"/>
      <c r="P283" s="20"/>
    </row>
    <row r="284" spans="1:16" ht="15.75" customHeight="1">
      <c r="A284" s="16" t="s">
        <v>17</v>
      </c>
      <c r="B284" s="17">
        <v>0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8">
        <v>0</v>
      </c>
      <c r="L284" s="17">
        <v>0</v>
      </c>
      <c r="M284" s="17">
        <v>0</v>
      </c>
      <c r="O284" s="17">
        <f t="shared" si="15"/>
        <v>0</v>
      </c>
      <c r="P284" s="20"/>
    </row>
    <row r="285" spans="1:16" ht="15.75" customHeight="1">
      <c r="A285" s="16" t="s">
        <v>18</v>
      </c>
      <c r="B285" s="17">
        <v>0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8">
        <v>0</v>
      </c>
      <c r="L285" s="17">
        <v>0</v>
      </c>
      <c r="M285" s="17">
        <v>0</v>
      </c>
      <c r="O285" s="17">
        <f t="shared" si="15"/>
        <v>0</v>
      </c>
      <c r="P285" s="20"/>
    </row>
    <row r="286" spans="1:16" ht="15.75" customHeight="1">
      <c r="A286" s="16" t="s">
        <v>19</v>
      </c>
      <c r="B286" s="17">
        <v>0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8">
        <v>0</v>
      </c>
      <c r="L286" s="17">
        <v>0</v>
      </c>
      <c r="M286" s="17">
        <v>0</v>
      </c>
      <c r="O286" s="17">
        <f t="shared" si="15"/>
        <v>0</v>
      </c>
      <c r="P286" s="20"/>
    </row>
    <row r="287" spans="1:16" ht="15.75" customHeight="1">
      <c r="A287" s="25" t="s">
        <v>24</v>
      </c>
      <c r="B287" s="12">
        <v>0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O287" s="17"/>
      <c r="P287" s="20"/>
    </row>
    <row r="288" spans="1:16" ht="15.75" customHeight="1">
      <c r="A288" s="26" t="s">
        <v>17</v>
      </c>
      <c r="B288" s="17">
        <v>0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O288" s="17">
        <f t="shared" ref="O288:O290" si="16">SUM(B288:M288)</f>
        <v>0</v>
      </c>
      <c r="P288" s="20"/>
    </row>
    <row r="289" spans="1:16" ht="15.75" customHeight="1">
      <c r="A289" s="16" t="s">
        <v>18</v>
      </c>
      <c r="B289" s="17">
        <v>0</v>
      </c>
      <c r="C289" s="17">
        <v>0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O289" s="17">
        <f t="shared" si="16"/>
        <v>0</v>
      </c>
      <c r="P289" s="20"/>
    </row>
    <row r="290" spans="1:16" ht="15.75" customHeight="1">
      <c r="A290" s="26" t="s">
        <v>19</v>
      </c>
      <c r="B290" s="17">
        <v>0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O290" s="17">
        <f t="shared" si="16"/>
        <v>0</v>
      </c>
      <c r="P290" s="20"/>
    </row>
    <row r="291" spans="1:16" ht="15.75" customHeight="1">
      <c r="A291" s="16"/>
      <c r="B291" s="27"/>
      <c r="C291" s="33"/>
      <c r="D291" s="33"/>
      <c r="E291" s="33"/>
      <c r="F291" s="27"/>
      <c r="G291" s="27"/>
      <c r="I291" s="27"/>
      <c r="J291" s="27"/>
      <c r="K291" s="28"/>
      <c r="L291" s="17"/>
      <c r="M291" s="17"/>
      <c r="O291" s="27"/>
      <c r="P291" s="20"/>
    </row>
    <row r="292" spans="1:16" ht="15.75" customHeight="1">
      <c r="A292" s="10" t="s">
        <v>35</v>
      </c>
      <c r="B292" s="27"/>
      <c r="C292" s="33"/>
      <c r="D292" s="33"/>
      <c r="E292" s="33"/>
      <c r="F292" s="27"/>
      <c r="G292" s="27"/>
      <c r="I292" s="27"/>
      <c r="J292" s="27"/>
      <c r="K292" s="28"/>
      <c r="L292" s="17"/>
      <c r="M292" s="17"/>
      <c r="O292" s="27"/>
      <c r="P292" s="20"/>
    </row>
    <row r="293" spans="1:16" ht="15.75" customHeight="1">
      <c r="A293" s="11" t="s">
        <v>16</v>
      </c>
      <c r="B293" s="12">
        <v>26</v>
      </c>
      <c r="C293" s="34">
        <v>26</v>
      </c>
      <c r="D293" s="12">
        <v>26</v>
      </c>
      <c r="E293" s="12">
        <v>26</v>
      </c>
      <c r="F293" s="12">
        <v>26</v>
      </c>
      <c r="G293" s="12">
        <v>26</v>
      </c>
      <c r="H293" s="12">
        <v>26</v>
      </c>
      <c r="I293" s="12">
        <v>26</v>
      </c>
      <c r="J293" s="12">
        <v>26</v>
      </c>
      <c r="K293" s="13">
        <v>26</v>
      </c>
      <c r="L293" s="12">
        <v>26</v>
      </c>
      <c r="M293" s="12">
        <v>26</v>
      </c>
      <c r="O293" s="12"/>
      <c r="P293" s="20"/>
    </row>
    <row r="294" spans="1:16" ht="15.75" customHeight="1">
      <c r="A294" s="16" t="s">
        <v>17</v>
      </c>
      <c r="B294" s="17">
        <v>219042.38999999998</v>
      </c>
      <c r="C294" s="17">
        <v>131828.63</v>
      </c>
      <c r="D294" s="17">
        <v>175174</v>
      </c>
      <c r="E294" s="17">
        <v>166466.5</v>
      </c>
      <c r="F294" s="17">
        <v>137428.5</v>
      </c>
      <c r="G294" s="17">
        <v>128526</v>
      </c>
      <c r="H294" s="17">
        <v>156853</v>
      </c>
      <c r="I294" s="17">
        <v>114500</v>
      </c>
      <c r="J294" s="17">
        <v>167975</v>
      </c>
      <c r="K294" s="18">
        <v>64763</v>
      </c>
      <c r="L294" s="17">
        <v>96363.5</v>
      </c>
      <c r="M294" s="17">
        <v>123122</v>
      </c>
      <c r="O294" s="17">
        <f>SUM(B294:M294)</f>
        <v>1682042.52</v>
      </c>
      <c r="P294" s="20"/>
    </row>
    <row r="295" spans="1:16" ht="15.75" customHeight="1">
      <c r="A295" s="16" t="s">
        <v>18</v>
      </c>
      <c r="B295" s="17">
        <v>30665.94</v>
      </c>
      <c r="C295" s="17">
        <v>18456.010000000002</v>
      </c>
      <c r="D295" s="17">
        <v>24524.36</v>
      </c>
      <c r="E295" s="17">
        <v>23305.309999999998</v>
      </c>
      <c r="F295" s="17">
        <v>19239.989999999998</v>
      </c>
      <c r="G295" s="17">
        <v>17993.64</v>
      </c>
      <c r="H295" s="17">
        <v>21959.420000000002</v>
      </c>
      <c r="I295" s="17">
        <v>16030</v>
      </c>
      <c r="J295" s="17">
        <v>23516.500000000004</v>
      </c>
      <c r="K295" s="18">
        <v>9066.82</v>
      </c>
      <c r="L295" s="17">
        <v>13490.89</v>
      </c>
      <c r="M295" s="17">
        <v>17237.079999999998</v>
      </c>
      <c r="O295" s="17">
        <f>SUM(B295:M295)</f>
        <v>235485.96</v>
      </c>
      <c r="P295" s="20"/>
    </row>
    <row r="296" spans="1:16" ht="15.75" customHeight="1">
      <c r="A296" s="16" t="s">
        <v>19</v>
      </c>
      <c r="B296" s="17">
        <v>4380.8500000000004</v>
      </c>
      <c r="C296" s="17">
        <v>2636.5699999999997</v>
      </c>
      <c r="D296" s="17">
        <v>3503.4800000000005</v>
      </c>
      <c r="E296" s="17">
        <v>3329.33</v>
      </c>
      <c r="F296" s="17">
        <v>2748.5699999999997</v>
      </c>
      <c r="G296" s="17">
        <v>2570.52</v>
      </c>
      <c r="H296" s="17">
        <v>3137.0599999999995</v>
      </c>
      <c r="I296" s="17">
        <v>2290</v>
      </c>
      <c r="J296" s="17">
        <v>3359.5</v>
      </c>
      <c r="K296" s="18">
        <v>1295.26</v>
      </c>
      <c r="L296" s="17">
        <v>1927.27</v>
      </c>
      <c r="M296" s="17">
        <v>2462.44</v>
      </c>
      <c r="O296" s="17">
        <f>SUM(B296:M296)</f>
        <v>33640.850000000006</v>
      </c>
      <c r="P296" s="20"/>
    </row>
    <row r="297" spans="1:16" ht="15.75" customHeight="1">
      <c r="A297" s="11" t="s">
        <v>20</v>
      </c>
      <c r="B297" s="12">
        <v>0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3">
        <v>0</v>
      </c>
      <c r="L297" s="13">
        <v>0</v>
      </c>
      <c r="M297" s="12">
        <v>0</v>
      </c>
      <c r="O297" s="12"/>
      <c r="P297" s="20"/>
    </row>
    <row r="298" spans="1:16" ht="15.75" customHeight="1">
      <c r="A298" s="16" t="s">
        <v>17</v>
      </c>
      <c r="B298" s="17">
        <v>0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8">
        <v>0</v>
      </c>
      <c r="L298" s="17">
        <v>0</v>
      </c>
      <c r="M298" s="17">
        <v>0</v>
      </c>
      <c r="O298" s="17">
        <f>SUM(B298:M298)</f>
        <v>0</v>
      </c>
      <c r="P298" s="20"/>
    </row>
    <row r="299" spans="1:16" ht="15.75" customHeight="1">
      <c r="A299" s="16" t="s">
        <v>18</v>
      </c>
      <c r="B299" s="17">
        <v>0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8">
        <v>0</v>
      </c>
      <c r="L299" s="17">
        <v>0</v>
      </c>
      <c r="M299" s="17">
        <v>0</v>
      </c>
      <c r="O299" s="17">
        <f>SUM(B299:M299)</f>
        <v>0</v>
      </c>
      <c r="P299" s="20"/>
    </row>
    <row r="300" spans="1:16" ht="15.75" customHeight="1">
      <c r="A300" s="16" t="s">
        <v>19</v>
      </c>
      <c r="B300" s="17">
        <v>0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8">
        <v>0</v>
      </c>
      <c r="L300" s="17">
        <v>0</v>
      </c>
      <c r="M300" s="17">
        <v>0</v>
      </c>
      <c r="O300" s="17">
        <f>SUM(B300:M300)</f>
        <v>0</v>
      </c>
      <c r="P300" s="20"/>
    </row>
    <row r="301" spans="1:16" ht="15.75" customHeight="1">
      <c r="A301" s="11" t="s">
        <v>21</v>
      </c>
      <c r="B301" s="12">
        <v>26</v>
      </c>
      <c r="C301" s="12">
        <v>26</v>
      </c>
      <c r="D301" s="12">
        <v>26</v>
      </c>
      <c r="E301" s="12">
        <v>26</v>
      </c>
      <c r="F301" s="12">
        <v>26</v>
      </c>
      <c r="G301" s="12">
        <v>26</v>
      </c>
      <c r="H301" s="12">
        <v>26</v>
      </c>
      <c r="I301" s="12">
        <v>26</v>
      </c>
      <c r="J301" s="12">
        <v>26</v>
      </c>
      <c r="K301" s="13">
        <v>26</v>
      </c>
      <c r="L301" s="12">
        <v>26</v>
      </c>
      <c r="M301" s="12">
        <v>26</v>
      </c>
      <c r="O301" s="12"/>
      <c r="P301" s="20"/>
    </row>
    <row r="302" spans="1:16" ht="15.75" customHeight="1">
      <c r="A302" s="16" t="s">
        <v>17</v>
      </c>
      <c r="B302" s="17">
        <v>219042.38999999998</v>
      </c>
      <c r="C302" s="17">
        <v>131828.63</v>
      </c>
      <c r="D302" s="17">
        <v>175174</v>
      </c>
      <c r="E302" s="17">
        <v>166466.5</v>
      </c>
      <c r="F302" s="17">
        <v>137428.5</v>
      </c>
      <c r="G302" s="17">
        <v>128526</v>
      </c>
      <c r="H302" s="17">
        <v>156853</v>
      </c>
      <c r="I302" s="17">
        <v>114500</v>
      </c>
      <c r="J302" s="17">
        <v>167975</v>
      </c>
      <c r="K302" s="18">
        <v>64763</v>
      </c>
      <c r="L302" s="17">
        <v>96363.5</v>
      </c>
      <c r="M302" s="17">
        <v>123122</v>
      </c>
      <c r="O302" s="17">
        <f t="shared" ref="O302:O312" si="17">SUM(B302:M302)</f>
        <v>1682042.52</v>
      </c>
      <c r="P302" s="20"/>
    </row>
    <row r="303" spans="1:16" ht="15.75" customHeight="1">
      <c r="A303" s="16" t="s">
        <v>18</v>
      </c>
      <c r="B303" s="17">
        <v>30665.94</v>
      </c>
      <c r="C303" s="17">
        <v>18456.010000000002</v>
      </c>
      <c r="D303" s="17">
        <v>24524.36</v>
      </c>
      <c r="E303" s="17">
        <v>23305.309999999998</v>
      </c>
      <c r="F303" s="17">
        <v>19239.989999999998</v>
      </c>
      <c r="G303" s="17">
        <v>17993.64</v>
      </c>
      <c r="H303" s="17">
        <v>21959.420000000002</v>
      </c>
      <c r="I303" s="17">
        <v>16030</v>
      </c>
      <c r="J303" s="17">
        <v>23516.500000000004</v>
      </c>
      <c r="K303" s="18">
        <v>9066.82</v>
      </c>
      <c r="L303" s="17">
        <v>13490.89</v>
      </c>
      <c r="M303" s="17">
        <v>17237.079999999998</v>
      </c>
      <c r="O303" s="17">
        <f t="shared" si="17"/>
        <v>235485.96</v>
      </c>
      <c r="P303" s="20"/>
    </row>
    <row r="304" spans="1:16" ht="15.75" customHeight="1">
      <c r="A304" s="16" t="s">
        <v>19</v>
      </c>
      <c r="B304" s="17">
        <v>4380.8500000000004</v>
      </c>
      <c r="C304" s="17">
        <v>2636.5699999999997</v>
      </c>
      <c r="D304" s="17">
        <v>3503.4800000000005</v>
      </c>
      <c r="E304" s="17">
        <v>3329.33</v>
      </c>
      <c r="F304" s="17">
        <v>2748.5699999999997</v>
      </c>
      <c r="G304" s="17">
        <v>2570.52</v>
      </c>
      <c r="H304" s="17">
        <v>3137.0599999999995</v>
      </c>
      <c r="I304" s="17">
        <v>2290</v>
      </c>
      <c r="J304" s="17">
        <v>3359.5</v>
      </c>
      <c r="K304" s="18">
        <v>1295.26</v>
      </c>
      <c r="L304" s="17">
        <v>1927.27</v>
      </c>
      <c r="M304" s="17">
        <v>2462.44</v>
      </c>
      <c r="O304" s="17">
        <f t="shared" si="17"/>
        <v>33640.850000000006</v>
      </c>
      <c r="P304" s="20"/>
    </row>
    <row r="305" spans="1:16" ht="15.75" customHeight="1">
      <c r="A305" s="11" t="s">
        <v>22</v>
      </c>
      <c r="B305" s="12">
        <v>0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3">
        <v>0</v>
      </c>
      <c r="L305" s="13">
        <v>0</v>
      </c>
      <c r="M305" s="12">
        <v>0</v>
      </c>
      <c r="O305" s="12"/>
      <c r="P305" s="20"/>
    </row>
    <row r="306" spans="1:16" ht="15.75" customHeight="1">
      <c r="A306" s="16" t="s">
        <v>17</v>
      </c>
      <c r="B306" s="17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8">
        <v>0</v>
      </c>
      <c r="L306" s="17">
        <v>0</v>
      </c>
      <c r="M306" s="17">
        <v>0</v>
      </c>
      <c r="O306" s="17">
        <f t="shared" si="17"/>
        <v>0</v>
      </c>
      <c r="P306" s="20"/>
    </row>
    <row r="307" spans="1:16" ht="15.75" customHeight="1">
      <c r="A307" s="16" t="s">
        <v>18</v>
      </c>
      <c r="B307" s="17">
        <v>0</v>
      </c>
      <c r="C307" s="17">
        <v>0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8">
        <v>0</v>
      </c>
      <c r="L307" s="17">
        <v>0</v>
      </c>
      <c r="M307" s="17">
        <v>0</v>
      </c>
      <c r="O307" s="17">
        <f t="shared" si="17"/>
        <v>0</v>
      </c>
      <c r="P307" s="20"/>
    </row>
    <row r="308" spans="1:16" ht="15.75" customHeight="1">
      <c r="A308" s="16" t="s">
        <v>19</v>
      </c>
      <c r="B308" s="17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8">
        <v>0</v>
      </c>
      <c r="L308" s="17">
        <v>0</v>
      </c>
      <c r="M308" s="17">
        <v>0</v>
      </c>
      <c r="O308" s="17">
        <f t="shared" si="17"/>
        <v>0</v>
      </c>
      <c r="P308" s="20"/>
    </row>
    <row r="309" spans="1:16" ht="15.75" customHeight="1">
      <c r="A309" s="11" t="s">
        <v>23</v>
      </c>
      <c r="B309" s="12">
        <v>0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3">
        <v>0</v>
      </c>
      <c r="L309" s="13">
        <v>0</v>
      </c>
      <c r="M309" s="12">
        <v>0</v>
      </c>
      <c r="O309" s="12"/>
      <c r="P309" s="20"/>
    </row>
    <row r="310" spans="1:16" ht="15.75" customHeight="1">
      <c r="A310" s="16" t="s">
        <v>17</v>
      </c>
      <c r="B310" s="17">
        <v>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8">
        <v>0</v>
      </c>
      <c r="L310" s="17">
        <v>0</v>
      </c>
      <c r="M310" s="17">
        <v>0</v>
      </c>
      <c r="O310" s="17">
        <f t="shared" si="17"/>
        <v>0</v>
      </c>
      <c r="P310" s="20"/>
    </row>
    <row r="311" spans="1:16" ht="15.75" customHeight="1">
      <c r="A311" s="16" t="s">
        <v>18</v>
      </c>
      <c r="B311" s="17">
        <v>0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8">
        <v>0</v>
      </c>
      <c r="L311" s="17">
        <v>0</v>
      </c>
      <c r="M311" s="17">
        <v>0</v>
      </c>
      <c r="O311" s="17">
        <f t="shared" si="17"/>
        <v>0</v>
      </c>
      <c r="P311" s="20"/>
    </row>
    <row r="312" spans="1:16" ht="15.75" customHeight="1">
      <c r="A312" s="16" t="s">
        <v>19</v>
      </c>
      <c r="B312" s="17">
        <v>0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8">
        <v>0</v>
      </c>
      <c r="L312" s="17">
        <v>0</v>
      </c>
      <c r="M312" s="17">
        <v>0</v>
      </c>
      <c r="O312" s="17">
        <f t="shared" si="17"/>
        <v>0</v>
      </c>
      <c r="P312" s="20"/>
    </row>
    <row r="313" spans="1:16" ht="15.75" customHeight="1">
      <c r="A313" s="25" t="s">
        <v>24</v>
      </c>
      <c r="B313" s="12">
        <v>0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3">
        <v>0</v>
      </c>
      <c r="M313" s="13">
        <v>0</v>
      </c>
      <c r="O313" s="12"/>
      <c r="P313" s="20"/>
    </row>
    <row r="314" spans="1:16" ht="15.75" customHeight="1">
      <c r="A314" s="26" t="s">
        <v>17</v>
      </c>
      <c r="B314" s="17">
        <v>0</v>
      </c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O314" s="17">
        <f t="shared" ref="O314:O316" si="18">SUM(B314:M314)</f>
        <v>0</v>
      </c>
      <c r="P314" s="20"/>
    </row>
    <row r="315" spans="1:16" ht="15.75" customHeight="1">
      <c r="A315" s="16" t="s">
        <v>18</v>
      </c>
      <c r="B315" s="17">
        <v>0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O315" s="17">
        <f t="shared" si="18"/>
        <v>0</v>
      </c>
      <c r="P315" s="20"/>
    </row>
    <row r="316" spans="1:16" ht="15.75" customHeight="1">
      <c r="A316" s="26" t="s">
        <v>19</v>
      </c>
      <c r="B316" s="17">
        <v>0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O316" s="17">
        <f t="shared" si="18"/>
        <v>0</v>
      </c>
      <c r="P316" s="20"/>
    </row>
    <row r="317" spans="1:16" ht="15.75" customHeight="1">
      <c r="A317" s="2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O317" s="17"/>
      <c r="P317" s="20"/>
    </row>
    <row r="318" spans="1:16" ht="15.75" customHeight="1">
      <c r="A318" s="10" t="s">
        <v>36</v>
      </c>
      <c r="B318" s="27"/>
      <c r="C318" s="33"/>
      <c r="D318" s="33"/>
      <c r="E318" s="33"/>
      <c r="F318" s="27"/>
      <c r="G318" s="17"/>
      <c r="H318" s="17"/>
      <c r="I318" s="17"/>
      <c r="J318" s="17"/>
      <c r="K318" s="17"/>
      <c r="L318" s="17"/>
      <c r="M318" s="17"/>
      <c r="O318" s="17"/>
      <c r="P318" s="20"/>
    </row>
    <row r="319" spans="1:16" ht="15.75" customHeight="1">
      <c r="A319" s="11" t="s">
        <v>16</v>
      </c>
      <c r="B319" s="12">
        <v>40</v>
      </c>
      <c r="C319" s="12">
        <v>39.6</v>
      </c>
      <c r="D319" s="12">
        <v>39.6</v>
      </c>
      <c r="E319" s="12">
        <v>40</v>
      </c>
      <c r="F319" s="12">
        <v>40</v>
      </c>
      <c r="G319" s="12">
        <v>40</v>
      </c>
      <c r="H319" s="46">
        <v>40</v>
      </c>
      <c r="I319" s="46">
        <v>40</v>
      </c>
      <c r="J319" s="46">
        <v>40</v>
      </c>
      <c r="K319" s="46">
        <v>40</v>
      </c>
      <c r="L319" s="46">
        <v>40.200000000000003</v>
      </c>
      <c r="M319" s="46">
        <v>40.200000000000003</v>
      </c>
      <c r="O319" s="12"/>
      <c r="P319" s="20"/>
    </row>
    <row r="320" spans="1:16" ht="15.75" customHeight="1">
      <c r="A320" s="16" t="s">
        <v>17</v>
      </c>
      <c r="B320" s="17">
        <v>1337902.52</v>
      </c>
      <c r="C320" s="17">
        <v>1054191.3700000001</v>
      </c>
      <c r="D320" s="17">
        <v>1023524.4099999999</v>
      </c>
      <c r="E320" s="17">
        <v>1033588.06</v>
      </c>
      <c r="F320" s="17">
        <v>1217780.9800000002</v>
      </c>
      <c r="G320" s="17">
        <v>1740049.0399999998</v>
      </c>
      <c r="H320" s="17">
        <v>1483418.13</v>
      </c>
      <c r="I320" s="17">
        <v>1270513.97</v>
      </c>
      <c r="J320" s="17">
        <v>1501828.74</v>
      </c>
      <c r="K320" s="17">
        <v>1418464.47</v>
      </c>
      <c r="L320" s="17">
        <v>1353242.12</v>
      </c>
      <c r="M320" s="17">
        <v>1306276.1499999999</v>
      </c>
      <c r="O320" s="17">
        <f>SUM(B320:M320)</f>
        <v>15740779.960000003</v>
      </c>
      <c r="P320" s="20"/>
    </row>
    <row r="321" spans="1:16" ht="15.75" customHeight="1">
      <c r="A321" s="16" t="s">
        <v>18</v>
      </c>
      <c r="B321" s="17">
        <v>187306.36000000002</v>
      </c>
      <c r="C321" s="17">
        <v>147586.79</v>
      </c>
      <c r="D321" s="17">
        <v>143293.42000000001</v>
      </c>
      <c r="E321" s="17">
        <v>157204.68000000002</v>
      </c>
      <c r="F321" s="17">
        <v>178382.86</v>
      </c>
      <c r="G321" s="17">
        <v>250981.63999999998</v>
      </c>
      <c r="H321" s="17">
        <v>207678.55000000002</v>
      </c>
      <c r="I321" s="17">
        <v>177871.96000000002</v>
      </c>
      <c r="J321" s="17">
        <v>210256.02</v>
      </c>
      <c r="K321" s="17">
        <v>198585.02000000002</v>
      </c>
      <c r="L321" s="17">
        <v>189453.9</v>
      </c>
      <c r="M321" s="17">
        <v>182878.66</v>
      </c>
      <c r="O321" s="17">
        <f>SUM(B321:M321)</f>
        <v>2231479.86</v>
      </c>
      <c r="P321" s="20"/>
    </row>
    <row r="322" spans="1:16" ht="15.75" customHeight="1">
      <c r="A322" s="16" t="s">
        <v>19</v>
      </c>
      <c r="B322" s="17">
        <v>26758.06</v>
      </c>
      <c r="C322" s="17">
        <v>21083.839999999997</v>
      </c>
      <c r="D322" s="17">
        <v>20470.490000000002</v>
      </c>
      <c r="E322" s="17">
        <v>20671.77</v>
      </c>
      <c r="F322" s="17">
        <v>24355.630000000005</v>
      </c>
      <c r="G322" s="17">
        <v>34800.97</v>
      </c>
      <c r="H322" s="17">
        <v>29668.37</v>
      </c>
      <c r="I322" s="17">
        <v>25410.28</v>
      </c>
      <c r="J322" s="17">
        <v>30036.58</v>
      </c>
      <c r="K322" s="17">
        <v>28369.280000000002</v>
      </c>
      <c r="L322" s="17">
        <v>27064.84</v>
      </c>
      <c r="M322" s="17">
        <v>26125.53</v>
      </c>
      <c r="O322" s="17">
        <f>SUM(B322:M322)</f>
        <v>314815.64</v>
      </c>
      <c r="P322" s="20"/>
    </row>
    <row r="323" spans="1:16" ht="15.75" customHeight="1">
      <c r="A323" s="11" t="s">
        <v>20</v>
      </c>
      <c r="B323" s="12">
        <v>7</v>
      </c>
      <c r="C323" s="12">
        <v>6.4</v>
      </c>
      <c r="D323" s="12">
        <v>6</v>
      </c>
      <c r="E323" s="12">
        <v>6</v>
      </c>
      <c r="F323" s="12">
        <v>6</v>
      </c>
      <c r="G323" s="12">
        <v>6</v>
      </c>
      <c r="H323" s="12">
        <v>6</v>
      </c>
      <c r="I323" s="46">
        <v>6</v>
      </c>
      <c r="J323" s="46">
        <v>6</v>
      </c>
      <c r="K323" s="46">
        <v>6</v>
      </c>
      <c r="L323" s="46">
        <v>6</v>
      </c>
      <c r="M323" s="46">
        <v>6</v>
      </c>
      <c r="O323" s="12"/>
      <c r="P323" s="20"/>
    </row>
    <row r="324" spans="1:16" ht="15.75" customHeight="1">
      <c r="A324" s="16" t="s">
        <v>17</v>
      </c>
      <c r="B324" s="17">
        <v>85674</v>
      </c>
      <c r="C324" s="17">
        <v>74757</v>
      </c>
      <c r="D324" s="17">
        <v>67294</v>
      </c>
      <c r="E324" s="17">
        <v>89923</v>
      </c>
      <c r="F324" s="17">
        <v>71786</v>
      </c>
      <c r="G324" s="17">
        <v>67978</v>
      </c>
      <c r="H324" s="17">
        <v>60886</v>
      </c>
      <c r="I324" s="17">
        <v>68449</v>
      </c>
      <c r="J324" s="17">
        <v>85861</v>
      </c>
      <c r="K324" s="17">
        <v>75782</v>
      </c>
      <c r="L324" s="17">
        <v>57693</v>
      </c>
      <c r="M324" s="17">
        <v>59910</v>
      </c>
      <c r="O324" s="17">
        <f>SUM(B324:M324)</f>
        <v>865993</v>
      </c>
      <c r="P324" s="20"/>
    </row>
    <row r="325" spans="1:16" ht="15.75" customHeight="1">
      <c r="A325" s="16" t="s">
        <v>18</v>
      </c>
      <c r="B325" s="17">
        <v>11994.36</v>
      </c>
      <c r="C325" s="17">
        <v>10465.98</v>
      </c>
      <c r="D325" s="17">
        <v>9421.16</v>
      </c>
      <c r="E325" s="17">
        <v>12589.22</v>
      </c>
      <c r="F325" s="17">
        <v>10050.039999999999</v>
      </c>
      <c r="G325" s="17">
        <v>9516.92</v>
      </c>
      <c r="H325" s="17">
        <v>8524.0400000000009</v>
      </c>
      <c r="I325" s="17">
        <v>9582.86</v>
      </c>
      <c r="J325" s="17">
        <v>12020.539999999999</v>
      </c>
      <c r="K325" s="17">
        <v>10609.480000000001</v>
      </c>
      <c r="L325" s="17">
        <v>8077.02</v>
      </c>
      <c r="M325" s="17">
        <v>8387.4</v>
      </c>
      <c r="O325" s="17">
        <f>SUM(B325:M325)</f>
        <v>121239.01999999999</v>
      </c>
      <c r="P325" s="20"/>
    </row>
    <row r="326" spans="1:16" ht="15.75" customHeight="1">
      <c r="A326" s="16" t="s">
        <v>19</v>
      </c>
      <c r="B326" s="17">
        <v>1713.48</v>
      </c>
      <c r="C326" s="17">
        <v>1495.1399999999999</v>
      </c>
      <c r="D326" s="17">
        <v>1345.88</v>
      </c>
      <c r="E326" s="17">
        <v>1798.46</v>
      </c>
      <c r="F326" s="17">
        <v>1435.72</v>
      </c>
      <c r="G326" s="17">
        <v>1359.56</v>
      </c>
      <c r="H326" s="17">
        <v>1217.7199999999998</v>
      </c>
      <c r="I326" s="17">
        <v>1368.98</v>
      </c>
      <c r="J326" s="17">
        <v>1717.2200000000003</v>
      </c>
      <c r="K326" s="17">
        <v>1515.6399999999999</v>
      </c>
      <c r="L326" s="17">
        <v>1153.8599999999999</v>
      </c>
      <c r="M326" s="17">
        <v>1198.2</v>
      </c>
      <c r="O326" s="17">
        <f>SUM(B326:M326)</f>
        <v>17319.86</v>
      </c>
      <c r="P326" s="20"/>
    </row>
    <row r="327" spans="1:16" ht="15.75" customHeight="1">
      <c r="A327" s="11" t="s">
        <v>21</v>
      </c>
      <c r="B327" s="12">
        <v>29</v>
      </c>
      <c r="C327" s="12">
        <v>29.2</v>
      </c>
      <c r="D327" s="12">
        <v>29.6</v>
      </c>
      <c r="E327" s="12">
        <v>31</v>
      </c>
      <c r="F327" s="12">
        <v>33</v>
      </c>
      <c r="G327" s="12">
        <v>33.200000000000003</v>
      </c>
      <c r="H327" s="46">
        <v>34</v>
      </c>
      <c r="I327" s="46">
        <v>34</v>
      </c>
      <c r="J327" s="46">
        <v>34</v>
      </c>
      <c r="K327" s="46">
        <v>34</v>
      </c>
      <c r="L327" s="46">
        <v>34.200000000000003</v>
      </c>
      <c r="M327" s="46">
        <v>34.200000000000003</v>
      </c>
      <c r="O327" s="12"/>
      <c r="P327" s="20"/>
    </row>
    <row r="328" spans="1:16" ht="15.75" customHeight="1">
      <c r="A328" s="16" t="s">
        <v>17</v>
      </c>
      <c r="B328" s="17">
        <v>1198686.92</v>
      </c>
      <c r="C328" s="17">
        <v>920638.42000000016</v>
      </c>
      <c r="D328" s="17">
        <v>916932.40999999992</v>
      </c>
      <c r="E328" s="17">
        <v>909270.95</v>
      </c>
      <c r="F328" s="17">
        <v>1122778.7</v>
      </c>
      <c r="G328" s="17">
        <v>1650380.51</v>
      </c>
      <c r="H328" s="17">
        <v>1422532.13</v>
      </c>
      <c r="I328" s="17">
        <v>1202064.97</v>
      </c>
      <c r="J328" s="17">
        <v>1415967.74</v>
      </c>
      <c r="K328" s="17">
        <v>1342682.47</v>
      </c>
      <c r="L328" s="17">
        <v>1295549.1200000001</v>
      </c>
      <c r="M328" s="17">
        <v>1246366.1499999999</v>
      </c>
      <c r="O328" s="17">
        <f t="shared" ref="O328:O342" si="19">SUM(B328:M328)</f>
        <v>14643850.49</v>
      </c>
      <c r="P328" s="20"/>
    </row>
    <row r="329" spans="1:16" ht="15.75" customHeight="1">
      <c r="A329" s="16" t="s">
        <v>18</v>
      </c>
      <c r="B329" s="17">
        <v>167816.16999999998</v>
      </c>
      <c r="C329" s="17">
        <v>128889.38</v>
      </c>
      <c r="D329" s="17">
        <v>128370.54000000001</v>
      </c>
      <c r="E329" s="17">
        <v>127297.94</v>
      </c>
      <c r="F329" s="17">
        <v>157189.02000000002</v>
      </c>
      <c r="G329" s="17">
        <v>231053.25999999998</v>
      </c>
      <c r="H329" s="17">
        <v>199154.50999999998</v>
      </c>
      <c r="I329" s="17">
        <v>168289.1</v>
      </c>
      <c r="J329" s="17">
        <v>198235.47999999998</v>
      </c>
      <c r="K329" s="17">
        <v>187975.53999999998</v>
      </c>
      <c r="L329" s="17">
        <v>181376.88</v>
      </c>
      <c r="M329" s="17">
        <v>174491.26</v>
      </c>
      <c r="O329" s="17">
        <f t="shared" si="19"/>
        <v>2050139.0800000003</v>
      </c>
      <c r="P329" s="20"/>
    </row>
    <row r="330" spans="1:16" ht="15.75" customHeight="1">
      <c r="A330" s="16" t="s">
        <v>19</v>
      </c>
      <c r="B330" s="17">
        <v>23973.74</v>
      </c>
      <c r="C330" s="17">
        <v>18412.78</v>
      </c>
      <c r="D330" s="17">
        <v>18338.650000000001</v>
      </c>
      <c r="E330" s="17">
        <v>18185.419999999998</v>
      </c>
      <c r="F330" s="17">
        <v>22455.58</v>
      </c>
      <c r="G330" s="17">
        <v>33007.61</v>
      </c>
      <c r="H330" s="17">
        <v>28450.65</v>
      </c>
      <c r="I330" s="17">
        <v>24041.3</v>
      </c>
      <c r="J330" s="17">
        <v>28319.360000000001</v>
      </c>
      <c r="K330" s="17">
        <v>26853.64</v>
      </c>
      <c r="L330" s="17">
        <v>25910.980000000003</v>
      </c>
      <c r="M330" s="17">
        <v>24927.33</v>
      </c>
      <c r="O330" s="17">
        <f t="shared" si="19"/>
        <v>292877.03999999998</v>
      </c>
      <c r="P330" s="20"/>
    </row>
    <row r="331" spans="1:16" ht="15.75" customHeight="1">
      <c r="A331" s="11" t="s">
        <v>22</v>
      </c>
      <c r="B331" s="12">
        <v>0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46">
        <v>0</v>
      </c>
      <c r="J331" s="46">
        <v>0</v>
      </c>
      <c r="K331" s="46">
        <v>0</v>
      </c>
      <c r="L331" s="46">
        <v>0</v>
      </c>
      <c r="M331" s="46">
        <v>0</v>
      </c>
      <c r="O331" s="12"/>
      <c r="P331" s="20"/>
    </row>
    <row r="332" spans="1:16" ht="15.75" customHeight="1">
      <c r="A332" s="16" t="s">
        <v>17</v>
      </c>
      <c r="B332" s="17">
        <v>0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O332" s="17">
        <f t="shared" si="19"/>
        <v>0</v>
      </c>
      <c r="P332" s="20"/>
    </row>
    <row r="333" spans="1:16" ht="15.75" customHeight="1">
      <c r="A333" s="16" t="s">
        <v>18</v>
      </c>
      <c r="B333" s="17">
        <v>0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O333" s="17">
        <f t="shared" si="19"/>
        <v>0</v>
      </c>
      <c r="P333" s="20"/>
    </row>
    <row r="334" spans="1:16" ht="15.75" customHeight="1">
      <c r="A334" s="16" t="s">
        <v>19</v>
      </c>
      <c r="B334" s="17">
        <v>0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O334" s="17">
        <f t="shared" si="19"/>
        <v>0</v>
      </c>
      <c r="P334" s="20"/>
    </row>
    <row r="335" spans="1:16" ht="15.75" customHeight="1">
      <c r="A335" s="11" t="s">
        <v>23</v>
      </c>
      <c r="B335" s="12">
        <v>0</v>
      </c>
      <c r="C335" s="12">
        <v>0</v>
      </c>
      <c r="D335" s="12">
        <v>0</v>
      </c>
      <c r="E335" s="12">
        <v>0</v>
      </c>
      <c r="F335" s="12">
        <v>1</v>
      </c>
      <c r="G335" s="12">
        <v>0.8</v>
      </c>
      <c r="H335" s="12">
        <v>0</v>
      </c>
      <c r="I335" s="46">
        <v>0</v>
      </c>
      <c r="J335" s="46">
        <v>0</v>
      </c>
      <c r="K335" s="46">
        <v>0</v>
      </c>
      <c r="L335" s="46">
        <v>0</v>
      </c>
      <c r="M335" s="46">
        <v>0</v>
      </c>
      <c r="O335" s="12"/>
      <c r="P335" s="20"/>
    </row>
    <row r="336" spans="1:16" ht="15.75" customHeight="1">
      <c r="A336" s="16" t="s">
        <v>17</v>
      </c>
      <c r="B336" s="17">
        <v>0</v>
      </c>
      <c r="C336" s="17">
        <v>0</v>
      </c>
      <c r="D336" s="17">
        <v>0</v>
      </c>
      <c r="E336" s="17">
        <v>36771.61</v>
      </c>
      <c r="F336" s="17">
        <v>23216.28</v>
      </c>
      <c r="G336" s="17">
        <v>21690.53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O336" s="17">
        <f t="shared" si="19"/>
        <v>81678.42</v>
      </c>
      <c r="P336" s="20"/>
    </row>
    <row r="337" spans="1:16" ht="15.75" customHeight="1">
      <c r="A337" s="16" t="s">
        <v>18</v>
      </c>
      <c r="B337" s="17">
        <v>0</v>
      </c>
      <c r="C337" s="17">
        <v>0</v>
      </c>
      <c r="D337" s="17">
        <v>0</v>
      </c>
      <c r="E337" s="17">
        <v>17650.370000000003</v>
      </c>
      <c r="F337" s="17">
        <v>11143.800000000001</v>
      </c>
      <c r="G337" s="17">
        <v>10411.459999999999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O337" s="17">
        <f t="shared" si="19"/>
        <v>39205.630000000005</v>
      </c>
      <c r="P337" s="20"/>
    </row>
    <row r="338" spans="1:16" ht="15.75" customHeight="1">
      <c r="A338" s="16" t="s">
        <v>19</v>
      </c>
      <c r="B338" s="17">
        <v>0</v>
      </c>
      <c r="C338" s="17">
        <v>0</v>
      </c>
      <c r="D338" s="17">
        <v>0</v>
      </c>
      <c r="E338" s="17">
        <v>735.44</v>
      </c>
      <c r="F338" s="17">
        <v>464.33</v>
      </c>
      <c r="G338" s="17">
        <v>433.8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O338" s="17">
        <f t="shared" si="19"/>
        <v>1633.57</v>
      </c>
      <c r="P338" s="20"/>
    </row>
    <row r="339" spans="1:16" ht="15.75" customHeight="1">
      <c r="A339" s="25" t="s">
        <v>24</v>
      </c>
      <c r="B339" s="12">
        <v>4</v>
      </c>
      <c r="C339" s="12">
        <v>4</v>
      </c>
      <c r="D339" s="12">
        <v>4</v>
      </c>
      <c r="E339" s="12">
        <v>2</v>
      </c>
      <c r="F339" s="12">
        <v>0</v>
      </c>
      <c r="G339" s="12">
        <v>0</v>
      </c>
      <c r="H339" s="12">
        <v>0</v>
      </c>
      <c r="I339" s="46">
        <v>0</v>
      </c>
      <c r="J339" s="46">
        <v>0</v>
      </c>
      <c r="K339" s="46">
        <v>0</v>
      </c>
      <c r="L339" s="46">
        <v>0</v>
      </c>
      <c r="M339" s="46">
        <v>0</v>
      </c>
      <c r="O339" s="12"/>
      <c r="P339" s="20"/>
    </row>
    <row r="340" spans="1:16" ht="15.75" customHeight="1">
      <c r="A340" s="26" t="s">
        <v>17</v>
      </c>
      <c r="B340" s="17">
        <v>53541.599999999999</v>
      </c>
      <c r="C340" s="17">
        <v>58795.95</v>
      </c>
      <c r="D340" s="17">
        <v>39298</v>
      </c>
      <c r="E340" s="31">
        <v>-2377.5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O340" s="17">
        <f t="shared" si="19"/>
        <v>149258.04999999999</v>
      </c>
      <c r="P340" s="20"/>
    </row>
    <row r="341" spans="1:16" ht="15.75" customHeight="1">
      <c r="A341" s="16" t="s">
        <v>18</v>
      </c>
      <c r="B341" s="17">
        <v>7495.83</v>
      </c>
      <c r="C341" s="17">
        <v>8231.43</v>
      </c>
      <c r="D341" s="17">
        <v>5501.72</v>
      </c>
      <c r="E341" s="31">
        <v>-332.85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O341" s="17">
        <f t="shared" si="19"/>
        <v>20896.13</v>
      </c>
      <c r="P341" s="20"/>
    </row>
    <row r="342" spans="1:16" ht="15.75" customHeight="1">
      <c r="A342" s="26" t="s">
        <v>19</v>
      </c>
      <c r="B342" s="17">
        <v>1070.8399999999999</v>
      </c>
      <c r="C342" s="17">
        <v>1175.92</v>
      </c>
      <c r="D342" s="17">
        <v>785.96</v>
      </c>
      <c r="E342" s="31">
        <v>-47.55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O342" s="17">
        <f t="shared" si="19"/>
        <v>2985.17</v>
      </c>
      <c r="P342" s="20"/>
    </row>
    <row r="343" spans="1:16" ht="15.75" customHeight="1">
      <c r="A343" s="2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O343" s="17"/>
      <c r="P343" s="20"/>
    </row>
    <row r="344" spans="1:16" ht="15.75" customHeight="1">
      <c r="A344" s="10" t="s">
        <v>37</v>
      </c>
      <c r="B344" s="27"/>
      <c r="C344" s="33"/>
      <c r="D344" s="33"/>
      <c r="E344" s="33"/>
      <c r="F344" s="27"/>
      <c r="G344" s="17"/>
      <c r="H344" s="17"/>
      <c r="I344" s="17"/>
      <c r="J344" s="17"/>
      <c r="K344" s="17"/>
      <c r="L344" s="17"/>
      <c r="M344" s="17"/>
      <c r="O344" s="17"/>
      <c r="P344" s="20"/>
    </row>
    <row r="345" spans="1:16" ht="15.75" customHeight="1">
      <c r="A345" s="11" t="s">
        <v>16</v>
      </c>
      <c r="B345" s="12">
        <v>147</v>
      </c>
      <c r="C345" s="12">
        <v>147</v>
      </c>
      <c r="D345" s="12">
        <v>147</v>
      </c>
      <c r="E345" s="12">
        <v>146.92000000000002</v>
      </c>
      <c r="F345" s="12">
        <v>147</v>
      </c>
      <c r="G345" s="12">
        <v>141.07999999999998</v>
      </c>
      <c r="H345" s="46">
        <v>141.33333333333334</v>
      </c>
      <c r="I345" s="46">
        <v>148</v>
      </c>
      <c r="J345" s="46">
        <v>148</v>
      </c>
      <c r="K345" s="46">
        <v>148</v>
      </c>
      <c r="L345" s="46">
        <v>148</v>
      </c>
      <c r="M345" s="46">
        <v>154</v>
      </c>
      <c r="O345" s="12"/>
      <c r="P345" s="20"/>
    </row>
    <row r="346" spans="1:16" ht="15.75" customHeight="1">
      <c r="A346" s="16" t="s">
        <v>17</v>
      </c>
      <c r="B346" s="17">
        <v>7808103.5</v>
      </c>
      <c r="C346" s="17">
        <v>8518552.6700000018</v>
      </c>
      <c r="D346" s="17">
        <v>7803697.5999999996</v>
      </c>
      <c r="E346" s="17">
        <v>8789841.5999999996</v>
      </c>
      <c r="F346" s="17">
        <v>8671165</v>
      </c>
      <c r="G346" s="17">
        <v>8682789.3999999985</v>
      </c>
      <c r="H346" s="17">
        <v>10412552.290000001</v>
      </c>
      <c r="I346" s="17">
        <v>8306670.4700000007</v>
      </c>
      <c r="J346" s="17">
        <v>9001913.8300000001</v>
      </c>
      <c r="K346" s="17">
        <v>9831896.7199999988</v>
      </c>
      <c r="L346" s="17">
        <v>7009594.8399999999</v>
      </c>
      <c r="M346" s="17">
        <v>8833964.2699999996</v>
      </c>
      <c r="O346" s="17">
        <f>SUM(B346:M346)</f>
        <v>103670742.19</v>
      </c>
      <c r="P346" s="20"/>
    </row>
    <row r="347" spans="1:16" ht="15.75" customHeight="1">
      <c r="A347" s="16" t="s">
        <v>18</v>
      </c>
      <c r="B347" s="17">
        <v>1093134.5100000002</v>
      </c>
      <c r="C347" s="17">
        <v>1192597.3800000001</v>
      </c>
      <c r="D347" s="17">
        <v>1092517.67</v>
      </c>
      <c r="E347" s="17">
        <v>1230577.8499999999</v>
      </c>
      <c r="F347" s="17">
        <v>1213963.1000000001</v>
      </c>
      <c r="G347" s="17">
        <v>1215590.5200000003</v>
      </c>
      <c r="H347" s="17">
        <v>1459277.14</v>
      </c>
      <c r="I347" s="17">
        <v>1197198.1500000001</v>
      </c>
      <c r="J347" s="17">
        <v>1316585.26</v>
      </c>
      <c r="K347" s="17">
        <v>1441066.6600000001</v>
      </c>
      <c r="L347" s="17">
        <v>1020839.6699999999</v>
      </c>
      <c r="M347" s="17">
        <v>1292559.01</v>
      </c>
      <c r="O347" s="17">
        <f>SUM(B347:M347)</f>
        <v>14765906.92</v>
      </c>
      <c r="P347" s="20"/>
    </row>
    <row r="348" spans="1:16" ht="15.75" customHeight="1">
      <c r="A348" s="16" t="s">
        <v>19</v>
      </c>
      <c r="B348" s="17">
        <v>156162.06999999998</v>
      </c>
      <c r="C348" s="17">
        <v>170371.05999999997</v>
      </c>
      <c r="D348" s="17">
        <v>156073.96</v>
      </c>
      <c r="E348" s="17">
        <v>175796.86</v>
      </c>
      <c r="F348" s="17">
        <v>173423.3</v>
      </c>
      <c r="G348" s="17">
        <v>173655.79</v>
      </c>
      <c r="H348" s="17">
        <v>208251.07</v>
      </c>
      <c r="I348" s="17">
        <v>166133.41000000003</v>
      </c>
      <c r="J348" s="17">
        <v>180038.31</v>
      </c>
      <c r="K348" s="17">
        <v>196637.94</v>
      </c>
      <c r="L348" s="17">
        <v>140191.92000000001</v>
      </c>
      <c r="M348" s="17">
        <v>176679.32</v>
      </c>
      <c r="O348" s="17">
        <f>SUM(B348:M348)</f>
        <v>2073415.01</v>
      </c>
      <c r="P348" s="20"/>
    </row>
    <row r="349" spans="1:16" ht="15.75" customHeight="1">
      <c r="A349" s="11" t="s">
        <v>20</v>
      </c>
      <c r="B349" s="12">
        <v>29</v>
      </c>
      <c r="C349" s="12">
        <v>29</v>
      </c>
      <c r="D349" s="12">
        <v>29</v>
      </c>
      <c r="E349" s="12">
        <v>29</v>
      </c>
      <c r="F349" s="12">
        <v>29</v>
      </c>
      <c r="G349" s="12">
        <v>29</v>
      </c>
      <c r="H349" s="12">
        <v>29</v>
      </c>
      <c r="I349" s="46">
        <v>29</v>
      </c>
      <c r="J349" s="46">
        <v>29</v>
      </c>
      <c r="K349" s="46">
        <v>29</v>
      </c>
      <c r="L349" s="46">
        <v>29</v>
      </c>
      <c r="M349" s="46">
        <v>29</v>
      </c>
      <c r="O349" s="12"/>
      <c r="P349" s="20"/>
    </row>
    <row r="350" spans="1:16" ht="15.75" customHeight="1">
      <c r="A350" s="16" t="s">
        <v>17</v>
      </c>
      <c r="B350" s="17">
        <v>568940</v>
      </c>
      <c r="C350" s="17">
        <v>523866</v>
      </c>
      <c r="D350" s="17">
        <v>495314</v>
      </c>
      <c r="E350" s="17">
        <v>537841</v>
      </c>
      <c r="F350" s="17">
        <v>514300</v>
      </c>
      <c r="G350" s="17">
        <v>591364</v>
      </c>
      <c r="H350" s="17">
        <v>624170</v>
      </c>
      <c r="I350" s="17">
        <v>609579</v>
      </c>
      <c r="J350" s="17">
        <v>721816</v>
      </c>
      <c r="K350" s="17">
        <v>629805</v>
      </c>
      <c r="L350" s="17">
        <v>651206</v>
      </c>
      <c r="M350" s="17">
        <v>610514</v>
      </c>
      <c r="O350" s="17">
        <f>SUM(B350:M350)</f>
        <v>7078715</v>
      </c>
      <c r="P350" s="20"/>
    </row>
    <row r="351" spans="1:16" ht="15.75" customHeight="1">
      <c r="A351" s="16" t="s">
        <v>18</v>
      </c>
      <c r="B351" s="17">
        <v>79651.600000000006</v>
      </c>
      <c r="C351" s="17">
        <v>73341.240000000005</v>
      </c>
      <c r="D351" s="17">
        <v>69343.959999999992</v>
      </c>
      <c r="E351" s="17">
        <v>75297.740000000005</v>
      </c>
      <c r="F351" s="17">
        <v>72002</v>
      </c>
      <c r="G351" s="17">
        <v>82790.960000000006</v>
      </c>
      <c r="H351" s="17">
        <v>87383.8</v>
      </c>
      <c r="I351" s="17">
        <v>85341.06</v>
      </c>
      <c r="J351" s="17">
        <v>101054.24</v>
      </c>
      <c r="K351" s="17">
        <v>88172.7</v>
      </c>
      <c r="L351" s="17">
        <v>91168.840000000011</v>
      </c>
      <c r="M351" s="17">
        <v>85471.959999999992</v>
      </c>
      <c r="O351" s="17">
        <f>SUM(B351:M351)</f>
        <v>991020.1</v>
      </c>
      <c r="P351" s="20"/>
    </row>
    <row r="352" spans="1:16" ht="15.75" customHeight="1">
      <c r="A352" s="16" t="s">
        <v>19</v>
      </c>
      <c r="B352" s="17">
        <v>11378.8</v>
      </c>
      <c r="C352" s="17">
        <v>10477.32</v>
      </c>
      <c r="D352" s="17">
        <v>9906.2800000000007</v>
      </c>
      <c r="E352" s="17">
        <v>10756.820000000002</v>
      </c>
      <c r="F352" s="17">
        <v>10286</v>
      </c>
      <c r="G352" s="17">
        <v>11827.279999999999</v>
      </c>
      <c r="H352" s="17">
        <v>12483.400000000001</v>
      </c>
      <c r="I352" s="17">
        <v>12191.58</v>
      </c>
      <c r="J352" s="17">
        <v>14436.32</v>
      </c>
      <c r="K352" s="17">
        <v>12596.100000000002</v>
      </c>
      <c r="L352" s="17">
        <v>13024.12</v>
      </c>
      <c r="M352" s="17">
        <v>12210.280000000002</v>
      </c>
      <c r="O352" s="17">
        <f>SUM(B352:M352)</f>
        <v>141574.29999999999</v>
      </c>
      <c r="P352" s="20"/>
    </row>
    <row r="353" spans="1:16" ht="15.75" customHeight="1">
      <c r="A353" s="11" t="s">
        <v>21</v>
      </c>
      <c r="B353" s="12">
        <v>105</v>
      </c>
      <c r="C353" s="12">
        <v>105</v>
      </c>
      <c r="D353" s="12">
        <v>105</v>
      </c>
      <c r="E353" s="12">
        <v>105</v>
      </c>
      <c r="F353" s="12">
        <v>105</v>
      </c>
      <c r="G353" s="12">
        <v>105</v>
      </c>
      <c r="H353" s="46">
        <v>105</v>
      </c>
      <c r="I353" s="46">
        <v>105</v>
      </c>
      <c r="J353" s="46">
        <v>105</v>
      </c>
      <c r="K353" s="46">
        <v>105</v>
      </c>
      <c r="L353" s="46">
        <v>105</v>
      </c>
      <c r="M353" s="46">
        <v>105</v>
      </c>
      <c r="O353" s="12"/>
      <c r="P353" s="20"/>
    </row>
    <row r="354" spans="1:16" ht="15.75" customHeight="1">
      <c r="A354" s="16" t="s">
        <v>17</v>
      </c>
      <c r="B354" s="17">
        <v>7011880.9500000002</v>
      </c>
      <c r="C354" s="17">
        <v>7757793.6200000001</v>
      </c>
      <c r="D354" s="17">
        <v>7179862.7999999998</v>
      </c>
      <c r="E354" s="17">
        <v>8011025.0499999998</v>
      </c>
      <c r="F354" s="17">
        <v>7970265.4000000004</v>
      </c>
      <c r="G354" s="17">
        <v>7925395</v>
      </c>
      <c r="H354" s="17">
        <v>9601004.7400000002</v>
      </c>
      <c r="I354" s="17">
        <v>7436702.2199999997</v>
      </c>
      <c r="J354" s="17">
        <v>7997702.5899999999</v>
      </c>
      <c r="K354" s="17">
        <v>8885763.0399999991</v>
      </c>
      <c r="L354" s="17">
        <v>6135571.6699999999</v>
      </c>
      <c r="M354" s="17">
        <v>7950792.9000000004</v>
      </c>
      <c r="O354" s="17">
        <f t="shared" ref="O354:O368" si="20">SUM(B354:M354)</f>
        <v>93863759.980000004</v>
      </c>
      <c r="P354" s="20"/>
    </row>
    <row r="355" spans="1:16" ht="15.75" customHeight="1">
      <c r="A355" s="16" t="s">
        <v>18</v>
      </c>
      <c r="B355" s="17">
        <v>981663.34999999986</v>
      </c>
      <c r="C355" s="17">
        <v>1086091.1199999999</v>
      </c>
      <c r="D355" s="17">
        <v>1005180.8</v>
      </c>
      <c r="E355" s="17">
        <v>1121543.53</v>
      </c>
      <c r="F355" s="17">
        <v>1115837.1599999999</v>
      </c>
      <c r="G355" s="17">
        <v>1109555.3</v>
      </c>
      <c r="H355" s="17">
        <v>1344140.68</v>
      </c>
      <c r="I355" s="17">
        <v>1041138.3200000002</v>
      </c>
      <c r="J355" s="17">
        <v>1119678.3799999999</v>
      </c>
      <c r="K355" s="17">
        <v>1244006.83</v>
      </c>
      <c r="L355" s="17">
        <v>858980.03999999992</v>
      </c>
      <c r="M355" s="17">
        <v>1113111.02</v>
      </c>
      <c r="O355" s="17">
        <f t="shared" si="20"/>
        <v>13140926.529999999</v>
      </c>
      <c r="P355" s="20"/>
    </row>
    <row r="356" spans="1:16" ht="15.75" customHeight="1">
      <c r="A356" s="16" t="s">
        <v>19</v>
      </c>
      <c r="B356" s="17">
        <v>140237.63</v>
      </c>
      <c r="C356" s="17">
        <v>155155.87999999998</v>
      </c>
      <c r="D356" s="17">
        <v>143597.27000000002</v>
      </c>
      <c r="E356" s="17">
        <v>160220.52000000002</v>
      </c>
      <c r="F356" s="17">
        <v>159405.32000000004</v>
      </c>
      <c r="G356" s="17">
        <v>158507.90000000002</v>
      </c>
      <c r="H356" s="17">
        <v>192020.11000000002</v>
      </c>
      <c r="I356" s="17">
        <v>148734.04999999999</v>
      </c>
      <c r="J356" s="17">
        <v>159954.07</v>
      </c>
      <c r="K356" s="17">
        <v>177715.27000000002</v>
      </c>
      <c r="L356" s="17">
        <v>122711.45</v>
      </c>
      <c r="M356" s="17">
        <v>159015.87000000002</v>
      </c>
      <c r="O356" s="17">
        <f t="shared" si="20"/>
        <v>1877275.3400000003</v>
      </c>
      <c r="P356" s="20"/>
    </row>
    <row r="357" spans="1:16" ht="15.75" customHeight="1">
      <c r="A357" s="11" t="s">
        <v>22</v>
      </c>
      <c r="B357" s="12">
        <v>0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46">
        <v>0</v>
      </c>
      <c r="J357" s="46">
        <v>0</v>
      </c>
      <c r="K357" s="46">
        <v>0</v>
      </c>
      <c r="L357" s="46">
        <v>0</v>
      </c>
      <c r="M357" s="46">
        <v>0</v>
      </c>
      <c r="O357" s="12"/>
      <c r="P357" s="20"/>
    </row>
    <row r="358" spans="1:16" ht="15.75" customHeight="1">
      <c r="A358" s="16" t="s">
        <v>17</v>
      </c>
      <c r="B358" s="17">
        <v>0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O358" s="17">
        <f t="shared" si="20"/>
        <v>0</v>
      </c>
      <c r="P358" s="20"/>
    </row>
    <row r="359" spans="1:16" ht="15.75" customHeight="1">
      <c r="A359" s="16" t="s">
        <v>18</v>
      </c>
      <c r="B359" s="17">
        <v>0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O359" s="17">
        <f t="shared" si="20"/>
        <v>0</v>
      </c>
      <c r="P359" s="20"/>
    </row>
    <row r="360" spans="1:16" ht="15.75" customHeight="1">
      <c r="A360" s="16" t="s">
        <v>19</v>
      </c>
      <c r="B360" s="17">
        <v>0</v>
      </c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O360" s="17">
        <f t="shared" si="20"/>
        <v>0</v>
      </c>
      <c r="P360" s="20"/>
    </row>
    <row r="361" spans="1:16" ht="15.75" customHeight="1">
      <c r="A361" s="11" t="s">
        <v>23</v>
      </c>
      <c r="B361" s="12">
        <v>0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46">
        <v>10</v>
      </c>
      <c r="J361" s="46">
        <v>10</v>
      </c>
      <c r="K361" s="46">
        <v>10</v>
      </c>
      <c r="L361" s="46">
        <v>10</v>
      </c>
      <c r="M361" s="46">
        <v>16</v>
      </c>
      <c r="O361" s="12"/>
      <c r="P361" s="20"/>
    </row>
    <row r="362" spans="1:16" ht="15.75" customHeight="1">
      <c r="A362" s="16" t="s">
        <v>17</v>
      </c>
      <c r="B362" s="17">
        <v>0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4470</v>
      </c>
      <c r="I362" s="17">
        <v>100777.25000000001</v>
      </c>
      <c r="J362" s="17">
        <v>165639.13999999998</v>
      </c>
      <c r="K362" s="17">
        <v>190003.28</v>
      </c>
      <c r="L362" s="17">
        <v>116165.87</v>
      </c>
      <c r="M362" s="17">
        <v>164129.37</v>
      </c>
      <c r="O362" s="17">
        <f t="shared" si="20"/>
        <v>741184.91</v>
      </c>
      <c r="P362" s="20"/>
    </row>
    <row r="363" spans="1:16" ht="15.75" customHeight="1">
      <c r="A363" s="16" t="s">
        <v>18</v>
      </c>
      <c r="B363" s="17">
        <v>0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2145.6</v>
      </c>
      <c r="I363" s="17">
        <v>48373.090000000004</v>
      </c>
      <c r="J363" s="17">
        <v>79506.78</v>
      </c>
      <c r="K363" s="17">
        <v>91201.58</v>
      </c>
      <c r="L363" s="17">
        <v>55759.61</v>
      </c>
      <c r="M363" s="17">
        <v>78782.100000000006</v>
      </c>
      <c r="O363" s="17">
        <f t="shared" si="20"/>
        <v>355768.76</v>
      </c>
      <c r="P363" s="20"/>
    </row>
    <row r="364" spans="1:16" ht="15.75" customHeight="1">
      <c r="A364" s="16" t="s">
        <v>19</v>
      </c>
      <c r="B364" s="17">
        <v>0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89.4</v>
      </c>
      <c r="I364" s="17">
        <v>2015.55</v>
      </c>
      <c r="J364" s="17">
        <v>3312.8</v>
      </c>
      <c r="K364" s="17">
        <v>3800.06</v>
      </c>
      <c r="L364" s="17">
        <v>2323.3199999999997</v>
      </c>
      <c r="M364" s="17">
        <v>3282.6</v>
      </c>
      <c r="O364" s="17">
        <f t="shared" si="20"/>
        <v>14823.73</v>
      </c>
      <c r="P364" s="20"/>
    </row>
    <row r="365" spans="1:16" ht="15.75" customHeight="1">
      <c r="A365" s="25" t="s">
        <v>24</v>
      </c>
      <c r="B365" s="12">
        <v>13</v>
      </c>
      <c r="C365" s="12">
        <v>13</v>
      </c>
      <c r="D365" s="12">
        <v>13</v>
      </c>
      <c r="E365" s="12">
        <v>12.933333333333332</v>
      </c>
      <c r="F365" s="12">
        <v>13</v>
      </c>
      <c r="G365" s="12">
        <v>7.08</v>
      </c>
      <c r="H365" s="12">
        <v>4</v>
      </c>
      <c r="I365" s="46">
        <v>4</v>
      </c>
      <c r="J365" s="46">
        <v>4</v>
      </c>
      <c r="K365" s="46">
        <v>4</v>
      </c>
      <c r="L365" s="46">
        <v>4</v>
      </c>
      <c r="M365" s="46">
        <v>4</v>
      </c>
      <c r="O365" s="12"/>
      <c r="P365" s="20"/>
    </row>
    <row r="366" spans="1:16" ht="15.75" customHeight="1">
      <c r="A366" s="26" t="s">
        <v>17</v>
      </c>
      <c r="B366" s="17">
        <v>227282.55000000002</v>
      </c>
      <c r="C366" s="17">
        <v>236893.05</v>
      </c>
      <c r="D366" s="17">
        <v>128520.8</v>
      </c>
      <c r="E366" s="17">
        <v>240975.55</v>
      </c>
      <c r="F366" s="17">
        <v>186599.6</v>
      </c>
      <c r="G366" s="17">
        <v>166030.40000000002</v>
      </c>
      <c r="H366" s="31">
        <v>182907.55000000002</v>
      </c>
      <c r="I366" s="17">
        <v>159612.00000000003</v>
      </c>
      <c r="J366" s="17">
        <v>116756.1</v>
      </c>
      <c r="K366" s="17">
        <v>126325.4</v>
      </c>
      <c r="L366" s="17">
        <v>106651.3</v>
      </c>
      <c r="M366" s="17">
        <v>108528.00000000001</v>
      </c>
      <c r="O366" s="17">
        <f t="shared" si="20"/>
        <v>1987082.3</v>
      </c>
      <c r="P366" s="20"/>
    </row>
    <row r="367" spans="1:16" ht="15.75" customHeight="1">
      <c r="A367" s="16" t="s">
        <v>18</v>
      </c>
      <c r="B367" s="17">
        <v>31819.559999999998</v>
      </c>
      <c r="C367" s="17">
        <v>33165.019999999997</v>
      </c>
      <c r="D367" s="17">
        <v>17992.91</v>
      </c>
      <c r="E367" s="17">
        <v>33736.58</v>
      </c>
      <c r="F367" s="17">
        <v>26123.94</v>
      </c>
      <c r="G367" s="17">
        <v>23244.26</v>
      </c>
      <c r="H367" s="31">
        <v>25607.06</v>
      </c>
      <c r="I367" s="17">
        <v>22345.679999999997</v>
      </c>
      <c r="J367" s="17">
        <v>16345.859999999999</v>
      </c>
      <c r="K367" s="17">
        <v>17685.55</v>
      </c>
      <c r="L367" s="17">
        <v>14931.180000000002</v>
      </c>
      <c r="M367" s="17">
        <v>15193.93</v>
      </c>
      <c r="O367" s="17">
        <f t="shared" si="20"/>
        <v>278191.52999999997</v>
      </c>
      <c r="P367" s="20"/>
    </row>
    <row r="368" spans="1:16" ht="15.75" customHeight="1">
      <c r="A368" s="26" t="s">
        <v>19</v>
      </c>
      <c r="B368" s="17">
        <v>4545.6400000000003</v>
      </c>
      <c r="C368" s="17">
        <v>4737.8599999999997</v>
      </c>
      <c r="D368" s="17">
        <v>2570.4100000000003</v>
      </c>
      <c r="E368" s="17">
        <v>4819.5199999999995</v>
      </c>
      <c r="F368" s="17">
        <v>3731.98</v>
      </c>
      <c r="G368" s="17">
        <v>3320.61</v>
      </c>
      <c r="H368" s="31">
        <v>3658.1600000000003</v>
      </c>
      <c r="I368" s="17">
        <v>3192.23</v>
      </c>
      <c r="J368" s="17">
        <v>2335.12</v>
      </c>
      <c r="K368" s="17">
        <v>2526.5100000000002</v>
      </c>
      <c r="L368" s="17">
        <v>2133.0300000000002</v>
      </c>
      <c r="M368" s="17">
        <v>2170.5700000000002</v>
      </c>
      <c r="O368" s="17">
        <f t="shared" si="20"/>
        <v>39741.64</v>
      </c>
      <c r="P368" s="20"/>
    </row>
    <row r="369" spans="1:16" ht="15.75" customHeight="1">
      <c r="A369" s="26"/>
      <c r="B369" s="17"/>
      <c r="C369" s="17"/>
      <c r="D369" s="17"/>
      <c r="E369" s="17"/>
      <c r="F369" s="17"/>
      <c r="G369" s="17"/>
      <c r="H369" s="31"/>
      <c r="I369" s="17"/>
      <c r="J369" s="17"/>
      <c r="K369" s="17"/>
      <c r="L369" s="17"/>
      <c r="M369" s="17"/>
      <c r="O369" s="17"/>
      <c r="P369" s="20"/>
    </row>
    <row r="370" spans="1:16" ht="15.75" customHeight="1">
      <c r="A370" s="10" t="s">
        <v>38</v>
      </c>
      <c r="B370" s="17"/>
      <c r="C370" s="17"/>
      <c r="D370" s="17"/>
      <c r="E370" s="17"/>
      <c r="F370" s="17"/>
      <c r="G370" s="17"/>
      <c r="H370" s="31"/>
      <c r="I370" s="17"/>
      <c r="J370" s="17"/>
      <c r="K370" s="17"/>
      <c r="L370" s="17"/>
      <c r="M370" s="17"/>
      <c r="O370" s="17"/>
      <c r="P370" s="20"/>
    </row>
    <row r="371" spans="1:16" ht="15.75" customHeight="1">
      <c r="A371" s="11" t="s">
        <v>16</v>
      </c>
      <c r="B371" s="46">
        <v>28.6</v>
      </c>
      <c r="C371" s="46">
        <v>29</v>
      </c>
      <c r="D371" s="46">
        <v>29</v>
      </c>
      <c r="E371" s="46">
        <v>29</v>
      </c>
      <c r="F371" s="46">
        <v>29</v>
      </c>
      <c r="G371" s="46">
        <v>29</v>
      </c>
      <c r="H371" s="46">
        <v>29</v>
      </c>
      <c r="I371" s="46">
        <v>28.4</v>
      </c>
      <c r="J371" s="46">
        <v>29</v>
      </c>
      <c r="K371" s="46">
        <v>29</v>
      </c>
      <c r="L371" s="46">
        <v>27</v>
      </c>
      <c r="M371" s="46">
        <v>27</v>
      </c>
      <c r="O371" s="17"/>
      <c r="P371" s="20"/>
    </row>
    <row r="372" spans="1:16" ht="15.75" customHeight="1">
      <c r="A372" s="16" t="s">
        <v>17</v>
      </c>
      <c r="B372" s="31">
        <v>1546911.8</v>
      </c>
      <c r="C372" s="31">
        <v>1582721.77</v>
      </c>
      <c r="D372" s="17">
        <v>1622455</v>
      </c>
      <c r="E372" s="17">
        <v>1288013.48</v>
      </c>
      <c r="F372" s="17">
        <v>1337329.9799999997</v>
      </c>
      <c r="G372" s="17">
        <v>1277754.28</v>
      </c>
      <c r="H372" s="17">
        <v>1595090.58</v>
      </c>
      <c r="I372" s="17">
        <v>1208570.77</v>
      </c>
      <c r="J372" s="17">
        <v>1621801.56</v>
      </c>
      <c r="K372" s="17">
        <v>1505619.42</v>
      </c>
      <c r="L372" s="17">
        <v>1350706.4999999998</v>
      </c>
      <c r="M372" s="17">
        <v>1032242.0900000002</v>
      </c>
      <c r="O372" s="17">
        <f>SUM(B372:M372)</f>
        <v>16969217.23</v>
      </c>
      <c r="P372" s="20"/>
    </row>
    <row r="373" spans="1:16" ht="15.75" customHeight="1">
      <c r="A373" s="16" t="s">
        <v>18</v>
      </c>
      <c r="B373" s="31">
        <v>252170.25</v>
      </c>
      <c r="C373" s="31">
        <v>255444.55000000002</v>
      </c>
      <c r="D373" s="17">
        <v>261698.57999999996</v>
      </c>
      <c r="E373" s="17">
        <v>219246.96000000002</v>
      </c>
      <c r="F373" s="17">
        <v>213259.49</v>
      </c>
      <c r="G373" s="17">
        <v>225269.28000000003</v>
      </c>
      <c r="H373" s="17">
        <v>273826.16000000003</v>
      </c>
      <c r="I373" s="17">
        <v>199117.05000000002</v>
      </c>
      <c r="J373" s="17">
        <v>273049.29000000004</v>
      </c>
      <c r="K373" s="17">
        <v>265785.13</v>
      </c>
      <c r="L373" s="17">
        <v>226745.93</v>
      </c>
      <c r="M373" s="17">
        <v>144513.88999999998</v>
      </c>
      <c r="O373" s="17">
        <f>SUM(B373:M373)</f>
        <v>2810126.5600000005</v>
      </c>
      <c r="P373" s="20"/>
    </row>
    <row r="374" spans="1:16" ht="15.75" customHeight="1">
      <c r="A374" s="16" t="s">
        <v>19</v>
      </c>
      <c r="B374" s="31">
        <v>30938.25</v>
      </c>
      <c r="C374" s="47">
        <v>31654.449999999997</v>
      </c>
      <c r="D374" s="48">
        <v>32449.109999999997</v>
      </c>
      <c r="E374" s="31">
        <v>25760.29</v>
      </c>
      <c r="F374" s="31">
        <v>26746.61</v>
      </c>
      <c r="G374" s="31">
        <v>25555.120000000003</v>
      </c>
      <c r="H374" s="31">
        <v>31901.840000000004</v>
      </c>
      <c r="I374" s="31">
        <v>24171.439999999999</v>
      </c>
      <c r="J374" s="31">
        <v>32436.04</v>
      </c>
      <c r="K374" s="31">
        <v>30112.379999999997</v>
      </c>
      <c r="L374" s="31">
        <v>27014.129999999997</v>
      </c>
      <c r="M374" s="31">
        <v>20644.86</v>
      </c>
      <c r="O374" s="17">
        <f>SUM(B374:M374)</f>
        <v>339384.52</v>
      </c>
      <c r="P374" s="20"/>
    </row>
    <row r="375" spans="1:16" ht="15.75" customHeight="1">
      <c r="A375" s="11" t="s">
        <v>20</v>
      </c>
      <c r="B375" s="46">
        <v>0</v>
      </c>
      <c r="C375" s="46">
        <v>0</v>
      </c>
      <c r="D375" s="46">
        <v>0</v>
      </c>
      <c r="E375" s="46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0</v>
      </c>
      <c r="K375" s="46">
        <v>0</v>
      </c>
      <c r="L375" s="46">
        <v>0</v>
      </c>
      <c r="M375" s="46">
        <v>0</v>
      </c>
      <c r="O375" s="12"/>
      <c r="P375" s="20"/>
    </row>
    <row r="376" spans="1:16" ht="15.75" customHeight="1">
      <c r="A376" s="16" t="s">
        <v>17</v>
      </c>
      <c r="B376" s="17">
        <v>0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O376" s="17">
        <f>SUM(B376:M376)</f>
        <v>0</v>
      </c>
      <c r="P376" s="20"/>
    </row>
    <row r="377" spans="1:16" ht="15.75" customHeight="1">
      <c r="A377" s="16" t="s">
        <v>18</v>
      </c>
      <c r="B377" s="17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O377" s="17">
        <f>SUM(B377:M377)</f>
        <v>0</v>
      </c>
      <c r="P377" s="20"/>
    </row>
    <row r="378" spans="1:16" ht="15.75" customHeight="1">
      <c r="A378" s="16" t="s">
        <v>19</v>
      </c>
      <c r="B378" s="17">
        <v>0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O378" s="17">
        <f>SUM(B378:M378)</f>
        <v>0</v>
      </c>
      <c r="P378" s="20"/>
    </row>
    <row r="379" spans="1:16" ht="15.75" customHeight="1">
      <c r="A379" s="11" t="s">
        <v>21</v>
      </c>
      <c r="B379" s="46">
        <v>24.6</v>
      </c>
      <c r="C379" s="46">
        <v>25</v>
      </c>
      <c r="D379" s="46">
        <v>25</v>
      </c>
      <c r="E379" s="46">
        <v>25</v>
      </c>
      <c r="F379" s="46">
        <v>25</v>
      </c>
      <c r="G379" s="46">
        <v>25</v>
      </c>
      <c r="H379" s="46">
        <v>25</v>
      </c>
      <c r="I379" s="46">
        <v>24.4</v>
      </c>
      <c r="J379" s="46">
        <v>25</v>
      </c>
      <c r="K379" s="46">
        <v>25</v>
      </c>
      <c r="L379" s="46">
        <v>25</v>
      </c>
      <c r="M379" s="46">
        <v>25</v>
      </c>
      <c r="O379" s="12"/>
      <c r="P379" s="20"/>
    </row>
    <row r="380" spans="1:16" ht="15.75" customHeight="1">
      <c r="A380" s="16" t="s">
        <v>17</v>
      </c>
      <c r="B380" s="31">
        <v>1398650.75</v>
      </c>
      <c r="C380" s="17">
        <v>1413926</v>
      </c>
      <c r="D380" s="17">
        <v>1438190.75</v>
      </c>
      <c r="E380" s="17">
        <v>1133612</v>
      </c>
      <c r="F380" s="17">
        <v>1222425</v>
      </c>
      <c r="G380" s="17">
        <v>1083079.0900000001</v>
      </c>
      <c r="H380" s="17">
        <v>1392097.75</v>
      </c>
      <c r="I380" s="17">
        <v>1050151.6599999999</v>
      </c>
      <c r="J380" s="17">
        <v>1397282.3399999999</v>
      </c>
      <c r="K380" s="17">
        <v>1273053.3600000001</v>
      </c>
      <c r="L380" s="17">
        <v>1217815.2599999998</v>
      </c>
      <c r="M380" s="17">
        <v>1032242.0900000002</v>
      </c>
      <c r="O380" s="17">
        <f t="shared" ref="O380:O390" si="21">SUM(B380:M380)</f>
        <v>15052526.049999999</v>
      </c>
      <c r="P380" s="20"/>
    </row>
    <row r="381" spans="1:16" ht="15.75" customHeight="1">
      <c r="A381" s="16" t="s">
        <v>18</v>
      </c>
      <c r="B381" s="31">
        <v>195811.11</v>
      </c>
      <c r="C381" s="17">
        <v>197949.64999999997</v>
      </c>
      <c r="D381" s="17">
        <v>201346.71</v>
      </c>
      <c r="E381" s="17">
        <v>158705.69</v>
      </c>
      <c r="F381" s="17">
        <v>171139.51</v>
      </c>
      <c r="G381" s="17">
        <v>151631.1</v>
      </c>
      <c r="H381" s="17">
        <v>194893.7</v>
      </c>
      <c r="I381" s="17">
        <v>147021.25</v>
      </c>
      <c r="J381" s="17">
        <v>195619.53000000003</v>
      </c>
      <c r="K381" s="17">
        <v>178227.48</v>
      </c>
      <c r="L381" s="17">
        <v>170494.15</v>
      </c>
      <c r="M381" s="17">
        <v>144513.88999999998</v>
      </c>
      <c r="O381" s="17">
        <f t="shared" si="21"/>
        <v>2107353.77</v>
      </c>
      <c r="P381" s="20"/>
    </row>
    <row r="382" spans="1:16" ht="15.75" customHeight="1">
      <c r="A382" s="16" t="s">
        <v>19</v>
      </c>
      <c r="B382" s="31">
        <v>27973.019999999997</v>
      </c>
      <c r="C382" s="17">
        <v>28278.53</v>
      </c>
      <c r="D382" s="17">
        <v>28763.82</v>
      </c>
      <c r="E382" s="17">
        <v>22672.25</v>
      </c>
      <c r="F382" s="17">
        <v>24448.51</v>
      </c>
      <c r="G382" s="17">
        <v>21661.61</v>
      </c>
      <c r="H382" s="17">
        <v>27841.969999999998</v>
      </c>
      <c r="I382" s="17">
        <v>21003.05</v>
      </c>
      <c r="J382" s="17">
        <v>27945.65</v>
      </c>
      <c r="K382" s="17">
        <v>25461.059999999998</v>
      </c>
      <c r="L382" s="17">
        <v>24356.309999999994</v>
      </c>
      <c r="M382" s="17">
        <v>20644.86</v>
      </c>
      <c r="O382" s="17">
        <f t="shared" si="21"/>
        <v>301050.63999999996</v>
      </c>
      <c r="P382" s="20"/>
    </row>
    <row r="383" spans="1:16" ht="15.75" customHeight="1">
      <c r="A383" s="11" t="s">
        <v>22</v>
      </c>
      <c r="B383" s="46">
        <v>0</v>
      </c>
      <c r="C383" s="46">
        <v>0</v>
      </c>
      <c r="D383" s="46">
        <v>0</v>
      </c>
      <c r="E383" s="46">
        <v>0</v>
      </c>
      <c r="F383" s="46">
        <v>0</v>
      </c>
      <c r="G383" s="46">
        <v>0</v>
      </c>
      <c r="H383" s="46">
        <v>0</v>
      </c>
      <c r="I383" s="46">
        <v>0</v>
      </c>
      <c r="J383" s="46">
        <v>0</v>
      </c>
      <c r="K383" s="46">
        <v>0</v>
      </c>
      <c r="L383" s="46">
        <v>0</v>
      </c>
      <c r="M383" s="46">
        <v>0</v>
      </c>
      <c r="O383" s="12"/>
      <c r="P383" s="20"/>
    </row>
    <row r="384" spans="1:16" ht="15.75" customHeight="1">
      <c r="A384" s="16" t="s">
        <v>17</v>
      </c>
      <c r="B384" s="31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O384" s="17">
        <f t="shared" si="21"/>
        <v>0</v>
      </c>
      <c r="P384" s="20"/>
    </row>
    <row r="385" spans="1:16" ht="15.75" customHeight="1">
      <c r="A385" s="16" t="s">
        <v>18</v>
      </c>
      <c r="B385" s="31">
        <v>0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O385" s="17">
        <f t="shared" si="21"/>
        <v>0</v>
      </c>
      <c r="P385" s="20"/>
    </row>
    <row r="386" spans="1:16" ht="15.75" customHeight="1">
      <c r="A386" s="16" t="s">
        <v>19</v>
      </c>
      <c r="B386" s="31">
        <v>0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O386" s="17">
        <f t="shared" si="21"/>
        <v>0</v>
      </c>
      <c r="P386" s="20"/>
    </row>
    <row r="387" spans="1:16" ht="15.75" customHeight="1">
      <c r="A387" s="11" t="s">
        <v>23</v>
      </c>
      <c r="B387" s="46">
        <v>2</v>
      </c>
      <c r="C387" s="46">
        <v>2</v>
      </c>
      <c r="D387" s="46">
        <v>2</v>
      </c>
      <c r="E387" s="46">
        <v>2</v>
      </c>
      <c r="F387" s="46">
        <v>2</v>
      </c>
      <c r="G387" s="46">
        <v>2</v>
      </c>
      <c r="H387" s="46">
        <v>2</v>
      </c>
      <c r="I387" s="46">
        <v>2</v>
      </c>
      <c r="J387" s="46">
        <v>2</v>
      </c>
      <c r="K387" s="46">
        <v>2</v>
      </c>
      <c r="L387" s="46">
        <v>2</v>
      </c>
      <c r="M387" s="46">
        <v>2</v>
      </c>
      <c r="O387" s="12"/>
      <c r="P387" s="20"/>
    </row>
    <row r="388" spans="1:16" ht="15.75" customHeight="1">
      <c r="A388" s="16" t="s">
        <v>17</v>
      </c>
      <c r="B388" s="31">
        <v>104713.5</v>
      </c>
      <c r="C388" s="17">
        <v>99598.5</v>
      </c>
      <c r="D388" s="17">
        <v>101632</v>
      </c>
      <c r="E388" s="17">
        <v>114485.5</v>
      </c>
      <c r="F388" s="17">
        <v>76568.5</v>
      </c>
      <c r="G388" s="17">
        <v>136422.5</v>
      </c>
      <c r="H388" s="17">
        <v>148569</v>
      </c>
      <c r="I388" s="17">
        <v>87991.5</v>
      </c>
      <c r="J388" s="17">
        <v>135285.5</v>
      </c>
      <c r="K388" s="17">
        <v>161760</v>
      </c>
      <c r="L388" s="17">
        <v>110726.5</v>
      </c>
      <c r="M388" s="17">
        <v>0</v>
      </c>
      <c r="O388" s="17">
        <f t="shared" si="21"/>
        <v>1277753</v>
      </c>
      <c r="P388" s="20"/>
    </row>
    <row r="389" spans="1:16" ht="15.75" customHeight="1">
      <c r="A389" s="16" t="s">
        <v>18</v>
      </c>
      <c r="B389" s="31">
        <v>50262.479999999996</v>
      </c>
      <c r="C389" s="17">
        <v>47807.28</v>
      </c>
      <c r="D389" s="17">
        <v>48783.360000000001</v>
      </c>
      <c r="E389" s="17">
        <v>54953.039999999994</v>
      </c>
      <c r="F389" s="17">
        <v>36752.880000000005</v>
      </c>
      <c r="G389" s="17">
        <v>65482.8</v>
      </c>
      <c r="H389" s="17">
        <v>71313.119999999995</v>
      </c>
      <c r="I389" s="17">
        <v>42235.92</v>
      </c>
      <c r="J389" s="17">
        <v>64937.040000000008</v>
      </c>
      <c r="K389" s="17">
        <v>77644.799999999988</v>
      </c>
      <c r="L389" s="17">
        <v>53148.72</v>
      </c>
      <c r="M389" s="17">
        <v>0</v>
      </c>
      <c r="O389" s="17">
        <f t="shared" si="21"/>
        <v>613321.43999999994</v>
      </c>
      <c r="P389" s="20"/>
    </row>
    <row r="390" spans="1:16" ht="15.75" customHeight="1">
      <c r="A390" s="16" t="s">
        <v>19</v>
      </c>
      <c r="B390" s="31">
        <v>2094.27</v>
      </c>
      <c r="C390" s="17">
        <v>1991.9699999999998</v>
      </c>
      <c r="D390" s="17">
        <v>2032.6399999999999</v>
      </c>
      <c r="E390" s="17">
        <v>2289.71</v>
      </c>
      <c r="F390" s="17">
        <v>1531.3700000000001</v>
      </c>
      <c r="G390" s="17">
        <v>2728.45</v>
      </c>
      <c r="H390" s="17">
        <v>2971.38</v>
      </c>
      <c r="I390" s="17">
        <v>1759.8300000000002</v>
      </c>
      <c r="J390" s="17">
        <v>2705.71</v>
      </c>
      <c r="K390" s="17">
        <v>3235.2</v>
      </c>
      <c r="L390" s="17">
        <v>2214.5300000000002</v>
      </c>
      <c r="M390" s="17">
        <v>0</v>
      </c>
      <c r="O390" s="17">
        <f t="shared" si="21"/>
        <v>25555.06</v>
      </c>
      <c r="P390" s="20"/>
    </row>
    <row r="391" spans="1:16" ht="15.75" customHeight="1">
      <c r="A391" s="25" t="s">
        <v>24</v>
      </c>
      <c r="B391" s="46">
        <v>2</v>
      </c>
      <c r="C391" s="46">
        <v>2</v>
      </c>
      <c r="D391" s="46">
        <v>2</v>
      </c>
      <c r="E391" s="46">
        <v>2</v>
      </c>
      <c r="F391" s="46">
        <v>2</v>
      </c>
      <c r="G391" s="46">
        <v>2</v>
      </c>
      <c r="H391" s="46">
        <v>2</v>
      </c>
      <c r="I391" s="46">
        <v>2</v>
      </c>
      <c r="J391" s="46">
        <v>2</v>
      </c>
      <c r="K391" s="46">
        <v>2</v>
      </c>
      <c r="L391" s="46">
        <v>0</v>
      </c>
      <c r="M391" s="46">
        <v>0</v>
      </c>
      <c r="O391" s="12"/>
      <c r="P391" s="20"/>
    </row>
    <row r="392" spans="1:16" ht="15.75" customHeight="1">
      <c r="A392" s="26" t="s">
        <v>17</v>
      </c>
      <c r="B392" s="31">
        <v>43547.55</v>
      </c>
      <c r="C392" s="17">
        <v>69197.26999999999</v>
      </c>
      <c r="D392" s="31">
        <v>82632.250000000015</v>
      </c>
      <c r="E392" s="31">
        <v>39915.980000000003</v>
      </c>
      <c r="F392" s="17">
        <v>38336.480000000003</v>
      </c>
      <c r="G392" s="17">
        <v>58252.69</v>
      </c>
      <c r="H392" s="17">
        <v>54423.83</v>
      </c>
      <c r="I392" s="17">
        <v>70427.609999999986</v>
      </c>
      <c r="J392" s="17">
        <v>89233.72</v>
      </c>
      <c r="K392" s="17">
        <v>70806.06</v>
      </c>
      <c r="L392" s="17">
        <v>22164.739999999998</v>
      </c>
      <c r="M392" s="17">
        <v>0</v>
      </c>
      <c r="O392" s="17">
        <f t="shared" ref="O392:O394" si="22">SUM(B392:M392)</f>
        <v>638938.17999999993</v>
      </c>
      <c r="P392" s="20"/>
    </row>
    <row r="393" spans="1:16" ht="15.75" customHeight="1">
      <c r="A393" s="16" t="s">
        <v>18</v>
      </c>
      <c r="B393" s="31">
        <v>6096.66</v>
      </c>
      <c r="C393" s="17">
        <v>9687.6200000000008</v>
      </c>
      <c r="D393" s="31">
        <v>11568.51</v>
      </c>
      <c r="E393" s="31">
        <v>5588.2300000000005</v>
      </c>
      <c r="F393" s="17">
        <v>5367.1</v>
      </c>
      <c r="G393" s="17">
        <v>8155.3799999999992</v>
      </c>
      <c r="H393" s="17">
        <v>7619.34</v>
      </c>
      <c r="I393" s="17">
        <v>9859.880000000001</v>
      </c>
      <c r="J393" s="17">
        <v>12492.72</v>
      </c>
      <c r="K393" s="17">
        <v>9912.85</v>
      </c>
      <c r="L393" s="17">
        <v>3103.06</v>
      </c>
      <c r="M393" s="17">
        <v>0</v>
      </c>
      <c r="O393" s="17">
        <f t="shared" si="22"/>
        <v>89451.35</v>
      </c>
      <c r="P393" s="20"/>
    </row>
    <row r="394" spans="1:16" ht="15.75" customHeight="1">
      <c r="A394" s="26" t="s">
        <v>19</v>
      </c>
      <c r="B394" s="31">
        <v>870.96</v>
      </c>
      <c r="C394" s="17">
        <v>1383.9499999999998</v>
      </c>
      <c r="D394" s="31">
        <v>1652.65</v>
      </c>
      <c r="E394" s="31">
        <v>798.33</v>
      </c>
      <c r="F394" s="17">
        <v>766.73000000000013</v>
      </c>
      <c r="G394" s="17">
        <v>1165.06</v>
      </c>
      <c r="H394" s="17">
        <v>1088.49</v>
      </c>
      <c r="I394" s="17">
        <v>1408.5599999999997</v>
      </c>
      <c r="J394" s="17">
        <v>1784.6799999999998</v>
      </c>
      <c r="K394" s="17">
        <v>1416.1200000000001</v>
      </c>
      <c r="L394" s="17">
        <v>443.28999999999996</v>
      </c>
      <c r="M394" s="17">
        <v>0</v>
      </c>
      <c r="O394" s="17">
        <f t="shared" si="22"/>
        <v>12778.82</v>
      </c>
      <c r="P394" s="20"/>
    </row>
    <row r="395" spans="1:16" ht="15.75" customHeight="1">
      <c r="A395" s="26"/>
      <c r="B395" s="17"/>
      <c r="C395" s="17"/>
      <c r="D395" s="31"/>
      <c r="E395" s="31"/>
      <c r="F395" s="17"/>
      <c r="G395" s="17"/>
      <c r="H395" s="31"/>
      <c r="I395" s="17"/>
      <c r="J395" s="17"/>
      <c r="K395" s="17"/>
      <c r="L395" s="17"/>
      <c r="M395" s="17"/>
      <c r="O395" s="17"/>
      <c r="P395" s="20"/>
    </row>
    <row r="396" spans="1:16" ht="15.75" customHeight="1">
      <c r="A396" s="10" t="s">
        <v>39</v>
      </c>
      <c r="B396" s="17"/>
      <c r="C396" s="17"/>
      <c r="D396" s="17"/>
      <c r="E396" s="17"/>
      <c r="F396" s="17"/>
      <c r="G396" s="17"/>
      <c r="H396" s="31"/>
      <c r="I396" s="17"/>
      <c r="J396" s="17"/>
      <c r="K396" s="17"/>
      <c r="L396" s="17"/>
      <c r="M396" s="17"/>
      <c r="O396" s="17"/>
      <c r="P396" s="20"/>
    </row>
    <row r="397" spans="1:16" ht="15.75" customHeight="1">
      <c r="A397" s="11" t="s">
        <v>16</v>
      </c>
      <c r="B397" s="46">
        <v>30.2</v>
      </c>
      <c r="C397" s="46">
        <v>30.8</v>
      </c>
      <c r="D397" s="46">
        <v>31</v>
      </c>
      <c r="E397" s="46">
        <v>31.2</v>
      </c>
      <c r="F397" s="46">
        <v>31.6</v>
      </c>
      <c r="G397" s="49">
        <v>32</v>
      </c>
      <c r="H397" s="49">
        <v>32</v>
      </c>
      <c r="I397" s="49">
        <v>32</v>
      </c>
      <c r="J397" s="49">
        <v>32</v>
      </c>
      <c r="K397" s="49">
        <v>32</v>
      </c>
      <c r="L397" s="46">
        <v>32</v>
      </c>
      <c r="M397" s="46">
        <v>32</v>
      </c>
      <c r="O397" s="17"/>
      <c r="P397" s="20"/>
    </row>
    <row r="398" spans="1:16" ht="15.75" customHeight="1">
      <c r="A398" s="16" t="s">
        <v>17</v>
      </c>
      <c r="B398" s="31">
        <v>1050513.8800000001</v>
      </c>
      <c r="C398" s="31">
        <v>831182.08</v>
      </c>
      <c r="D398" s="17">
        <v>853513.30999999994</v>
      </c>
      <c r="E398" s="17">
        <v>806588.93</v>
      </c>
      <c r="F398" s="17">
        <v>914240.6</v>
      </c>
      <c r="G398" s="17">
        <v>1005707.99</v>
      </c>
      <c r="H398" s="17">
        <v>876076.04999999993</v>
      </c>
      <c r="I398" s="17">
        <v>714980.77000000014</v>
      </c>
      <c r="J398" s="17">
        <v>1102543.73</v>
      </c>
      <c r="K398" s="17">
        <v>761100.59</v>
      </c>
      <c r="L398" s="17">
        <v>820946.65999999992</v>
      </c>
      <c r="M398" s="17">
        <v>782516.85</v>
      </c>
      <c r="O398" s="17">
        <f>SUM(B398:M398)</f>
        <v>10519911.439999999</v>
      </c>
      <c r="P398" s="20"/>
    </row>
    <row r="399" spans="1:16" ht="15.75" customHeight="1">
      <c r="A399" s="16" t="s">
        <v>18</v>
      </c>
      <c r="B399" s="31">
        <v>147071.95000000001</v>
      </c>
      <c r="C399" s="31">
        <v>116365.5</v>
      </c>
      <c r="D399" s="17">
        <v>119491.85999999999</v>
      </c>
      <c r="E399" s="17">
        <v>112922.46</v>
      </c>
      <c r="F399" s="17">
        <v>127993.7</v>
      </c>
      <c r="G399" s="17">
        <v>140799.13</v>
      </c>
      <c r="H399" s="17">
        <v>122650.66000000002</v>
      </c>
      <c r="I399" s="17">
        <v>100097.32000000002</v>
      </c>
      <c r="J399" s="17">
        <v>154356.13</v>
      </c>
      <c r="K399" s="17">
        <v>106554.09</v>
      </c>
      <c r="L399" s="17">
        <v>114932.53</v>
      </c>
      <c r="M399" s="17">
        <v>109552.34000000001</v>
      </c>
      <c r="O399" s="17">
        <f>SUM(B399:M399)</f>
        <v>1472787.6700000002</v>
      </c>
      <c r="P399" s="20"/>
    </row>
    <row r="400" spans="1:16" ht="15.75" customHeight="1">
      <c r="A400" s="16" t="s">
        <v>19</v>
      </c>
      <c r="B400" s="31">
        <v>21010.28</v>
      </c>
      <c r="C400" s="47">
        <v>16623.66</v>
      </c>
      <c r="D400" s="48">
        <v>17070.269999999997</v>
      </c>
      <c r="E400" s="31">
        <v>16131.789999999999</v>
      </c>
      <c r="F400" s="31">
        <v>18284.809999999998</v>
      </c>
      <c r="G400" s="31">
        <v>20114.16</v>
      </c>
      <c r="H400" s="31">
        <v>17521.530000000002</v>
      </c>
      <c r="I400" s="31">
        <v>14299.63</v>
      </c>
      <c r="J400" s="31">
        <v>22050.879999999997</v>
      </c>
      <c r="K400" s="31">
        <v>15222</v>
      </c>
      <c r="L400" s="17">
        <v>16418.950000000004</v>
      </c>
      <c r="M400" s="17">
        <v>15650.32</v>
      </c>
      <c r="O400" s="17">
        <f>SUM(B400:M400)</f>
        <v>210398.28000000003</v>
      </c>
      <c r="P400" s="20"/>
    </row>
    <row r="401" spans="1:16" ht="15.75" customHeight="1">
      <c r="A401" s="11" t="s">
        <v>20</v>
      </c>
      <c r="B401" s="46">
        <v>0</v>
      </c>
      <c r="C401" s="46">
        <v>0</v>
      </c>
      <c r="D401" s="46">
        <v>0</v>
      </c>
      <c r="E401" s="46">
        <v>0</v>
      </c>
      <c r="F401" s="46">
        <v>0</v>
      </c>
      <c r="G401" s="49">
        <v>0</v>
      </c>
      <c r="H401" s="49">
        <v>0</v>
      </c>
      <c r="I401" s="49">
        <v>0</v>
      </c>
      <c r="J401" s="49">
        <v>0</v>
      </c>
      <c r="K401" s="49">
        <v>0</v>
      </c>
      <c r="L401" s="46">
        <v>0</v>
      </c>
      <c r="M401" s="46">
        <v>0</v>
      </c>
      <c r="O401" s="12"/>
      <c r="P401" s="20"/>
    </row>
    <row r="402" spans="1:16" ht="15.75" customHeight="1">
      <c r="A402" s="16" t="s">
        <v>17</v>
      </c>
      <c r="B402" s="17">
        <v>0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O402" s="17">
        <f>SUM(B402:M402)</f>
        <v>0</v>
      </c>
      <c r="P402" s="20"/>
    </row>
    <row r="403" spans="1:16" ht="15.75" customHeight="1">
      <c r="A403" s="16" t="s">
        <v>18</v>
      </c>
      <c r="B403" s="17">
        <v>0</v>
      </c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O403" s="17">
        <f>SUM(B403:M403)</f>
        <v>0</v>
      </c>
      <c r="P403" s="20"/>
    </row>
    <row r="404" spans="1:16" ht="15.75" customHeight="1">
      <c r="A404" s="16" t="s">
        <v>19</v>
      </c>
      <c r="B404" s="17">
        <v>0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O404" s="17">
        <f>SUM(B404:M404)</f>
        <v>0</v>
      </c>
      <c r="P404" s="20"/>
    </row>
    <row r="405" spans="1:16" ht="15.75" customHeight="1">
      <c r="A405" s="11" t="s">
        <v>21</v>
      </c>
      <c r="B405" s="46">
        <v>28</v>
      </c>
      <c r="C405" s="46">
        <v>28</v>
      </c>
      <c r="D405" s="46">
        <v>28</v>
      </c>
      <c r="E405" s="46">
        <v>28.333333333333332</v>
      </c>
      <c r="F405" s="46">
        <v>28.6</v>
      </c>
      <c r="G405" s="49">
        <v>29</v>
      </c>
      <c r="H405" s="49">
        <v>29</v>
      </c>
      <c r="I405" s="49">
        <v>29</v>
      </c>
      <c r="J405" s="49">
        <v>29</v>
      </c>
      <c r="K405" s="49">
        <v>29</v>
      </c>
      <c r="L405" s="46">
        <v>29</v>
      </c>
      <c r="M405" s="46">
        <v>29</v>
      </c>
      <c r="O405" s="12"/>
      <c r="P405" s="20"/>
    </row>
    <row r="406" spans="1:16" ht="15.75" customHeight="1">
      <c r="A406" s="16" t="s">
        <v>17</v>
      </c>
      <c r="B406" s="31">
        <v>1019325</v>
      </c>
      <c r="C406" s="17">
        <v>792124.25</v>
      </c>
      <c r="D406" s="17">
        <v>780150.75</v>
      </c>
      <c r="E406" s="17">
        <v>678762.25</v>
      </c>
      <c r="F406" s="17">
        <v>809368.75</v>
      </c>
      <c r="G406" s="17">
        <v>879191.25</v>
      </c>
      <c r="H406" s="17">
        <v>816378.13</v>
      </c>
      <c r="I406" s="17">
        <v>676910.33</v>
      </c>
      <c r="J406" s="17">
        <v>1027343.49</v>
      </c>
      <c r="K406" s="17">
        <v>663878.95000000007</v>
      </c>
      <c r="L406" s="17">
        <v>759324.84</v>
      </c>
      <c r="M406" s="17">
        <v>662714.40999999992</v>
      </c>
      <c r="O406" s="17">
        <f t="shared" ref="O406:O416" si="23">SUM(B406:M406)</f>
        <v>9565472.4000000004</v>
      </c>
      <c r="P406" s="20"/>
    </row>
    <row r="407" spans="1:16" ht="15.75" customHeight="1">
      <c r="A407" s="16" t="s">
        <v>18</v>
      </c>
      <c r="B407" s="31">
        <v>142705.5</v>
      </c>
      <c r="C407" s="17">
        <v>110897.41</v>
      </c>
      <c r="D407" s="17">
        <v>109221.11</v>
      </c>
      <c r="E407" s="17">
        <v>95026.72</v>
      </c>
      <c r="F407" s="17">
        <v>113311.64</v>
      </c>
      <c r="G407" s="17">
        <v>123086.78000000001</v>
      </c>
      <c r="H407" s="17">
        <v>114292.96000000002</v>
      </c>
      <c r="I407" s="17">
        <v>94767.46</v>
      </c>
      <c r="J407" s="17">
        <v>143828.09</v>
      </c>
      <c r="K407" s="17">
        <v>92943.06</v>
      </c>
      <c r="L407" s="17">
        <v>106305.48</v>
      </c>
      <c r="M407" s="17">
        <v>92780.010000000009</v>
      </c>
      <c r="O407" s="17">
        <f t="shared" si="23"/>
        <v>1339166.22</v>
      </c>
      <c r="P407" s="20"/>
    </row>
    <row r="408" spans="1:16" ht="15.75" customHeight="1">
      <c r="A408" s="16" t="s">
        <v>19</v>
      </c>
      <c r="B408" s="31">
        <v>20386.5</v>
      </c>
      <c r="C408" s="17">
        <v>15842.500000000002</v>
      </c>
      <c r="D408" s="17">
        <v>15603.02</v>
      </c>
      <c r="E408" s="17">
        <v>13575.25</v>
      </c>
      <c r="F408" s="17">
        <v>16187.39</v>
      </c>
      <c r="G408" s="17">
        <v>17583.830000000002</v>
      </c>
      <c r="H408" s="17">
        <v>16327.580000000002</v>
      </c>
      <c r="I408" s="17">
        <v>13538.220000000001</v>
      </c>
      <c r="J408" s="17">
        <v>20546.870000000003</v>
      </c>
      <c r="K408" s="17">
        <v>13277.570000000002</v>
      </c>
      <c r="L408" s="17">
        <v>15186.510000000002</v>
      </c>
      <c r="M408" s="17">
        <v>13254.279999999999</v>
      </c>
      <c r="O408" s="17">
        <f t="shared" si="23"/>
        <v>191309.52000000002</v>
      </c>
      <c r="P408" s="20"/>
    </row>
    <row r="409" spans="1:16" ht="15.75" customHeight="1">
      <c r="A409" s="11" t="s">
        <v>22</v>
      </c>
      <c r="B409" s="46">
        <v>0</v>
      </c>
      <c r="C409" s="46">
        <v>0</v>
      </c>
      <c r="D409" s="46">
        <v>0</v>
      </c>
      <c r="E409" s="46">
        <v>0</v>
      </c>
      <c r="F409" s="46">
        <v>0</v>
      </c>
      <c r="G409" s="49">
        <v>0</v>
      </c>
      <c r="H409" s="49">
        <v>0</v>
      </c>
      <c r="I409" s="49">
        <v>0</v>
      </c>
      <c r="J409" s="49">
        <v>0</v>
      </c>
      <c r="K409" s="49">
        <v>0</v>
      </c>
      <c r="L409" s="46">
        <v>0</v>
      </c>
      <c r="M409" s="46">
        <v>0</v>
      </c>
      <c r="O409" s="12"/>
      <c r="P409" s="20"/>
    </row>
    <row r="410" spans="1:16" ht="15.75" customHeight="1">
      <c r="A410" s="16" t="s">
        <v>17</v>
      </c>
      <c r="B410" s="31">
        <v>0</v>
      </c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O410" s="17">
        <f t="shared" si="23"/>
        <v>0</v>
      </c>
      <c r="P410" s="20"/>
    </row>
    <row r="411" spans="1:16" ht="15.75" customHeight="1">
      <c r="A411" s="16" t="s">
        <v>18</v>
      </c>
      <c r="B411" s="31">
        <v>0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O411" s="17">
        <f t="shared" si="23"/>
        <v>0</v>
      </c>
      <c r="P411" s="20"/>
    </row>
    <row r="412" spans="1:16" ht="15.75" customHeight="1">
      <c r="A412" s="16" t="s">
        <v>19</v>
      </c>
      <c r="B412" s="31">
        <v>0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O412" s="17">
        <f t="shared" si="23"/>
        <v>0</v>
      </c>
      <c r="P412" s="20"/>
    </row>
    <row r="413" spans="1:16" ht="15.75" customHeight="1">
      <c r="A413" s="11" t="s">
        <v>23</v>
      </c>
      <c r="B413" s="46">
        <v>0</v>
      </c>
      <c r="C413" s="46">
        <v>0</v>
      </c>
      <c r="D413" s="46">
        <v>0</v>
      </c>
      <c r="E413" s="46">
        <v>0</v>
      </c>
      <c r="F413" s="46">
        <v>0</v>
      </c>
      <c r="G413" s="49">
        <v>0</v>
      </c>
      <c r="H413" s="49">
        <v>0</v>
      </c>
      <c r="I413" s="49">
        <v>0</v>
      </c>
      <c r="J413" s="49">
        <v>0</v>
      </c>
      <c r="K413" s="49">
        <v>0</v>
      </c>
      <c r="L413" s="46">
        <v>0</v>
      </c>
      <c r="M413" s="46">
        <v>0</v>
      </c>
      <c r="O413" s="12"/>
      <c r="P413" s="20"/>
    </row>
    <row r="414" spans="1:16" ht="15.75" customHeight="1">
      <c r="A414" s="16" t="s">
        <v>17</v>
      </c>
      <c r="B414" s="17">
        <v>0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O414" s="17">
        <f t="shared" si="23"/>
        <v>0</v>
      </c>
      <c r="P414" s="20"/>
    </row>
    <row r="415" spans="1:16" ht="15.75" customHeight="1">
      <c r="A415" s="16" t="s">
        <v>18</v>
      </c>
      <c r="B415" s="17">
        <v>0</v>
      </c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O415" s="17">
        <f t="shared" si="23"/>
        <v>0</v>
      </c>
      <c r="P415" s="20"/>
    </row>
    <row r="416" spans="1:16" ht="15.75" customHeight="1">
      <c r="A416" s="16" t="s">
        <v>19</v>
      </c>
      <c r="B416" s="17">
        <v>0</v>
      </c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O416" s="17">
        <f t="shared" si="23"/>
        <v>0</v>
      </c>
      <c r="P416" s="20"/>
    </row>
    <row r="417" spans="1:16" ht="15.75" customHeight="1">
      <c r="A417" s="25" t="s">
        <v>24</v>
      </c>
      <c r="B417" s="46">
        <v>2.2000000000000002</v>
      </c>
      <c r="C417" s="46">
        <v>2.8</v>
      </c>
      <c r="D417" s="46">
        <v>3</v>
      </c>
      <c r="E417" s="46">
        <v>3</v>
      </c>
      <c r="F417" s="46">
        <v>3</v>
      </c>
      <c r="G417" s="49">
        <v>3</v>
      </c>
      <c r="H417" s="49">
        <v>3</v>
      </c>
      <c r="I417" s="49">
        <v>3</v>
      </c>
      <c r="J417" s="49">
        <v>3</v>
      </c>
      <c r="K417" s="49">
        <v>3</v>
      </c>
      <c r="L417" s="46">
        <v>3</v>
      </c>
      <c r="M417" s="46">
        <v>3</v>
      </c>
      <c r="O417" s="12"/>
      <c r="P417" s="20"/>
    </row>
    <row r="418" spans="1:16" ht="15.75" customHeight="1">
      <c r="A418" s="26" t="s">
        <v>17</v>
      </c>
      <c r="B418" s="31">
        <v>31188.879999999997</v>
      </c>
      <c r="C418" s="17">
        <v>39057.829999999994</v>
      </c>
      <c r="D418" s="31">
        <v>73362.559999999998</v>
      </c>
      <c r="E418" s="31">
        <v>127826.68</v>
      </c>
      <c r="F418" s="17">
        <v>104871.84999999999</v>
      </c>
      <c r="G418" s="17">
        <v>126516.73999999999</v>
      </c>
      <c r="H418" s="17">
        <v>59697.920000000013</v>
      </c>
      <c r="I418" s="17">
        <v>38070.44</v>
      </c>
      <c r="J418" s="17">
        <v>75200.240000000005</v>
      </c>
      <c r="K418" s="17">
        <v>97221.640000000014</v>
      </c>
      <c r="L418" s="17">
        <v>61621.819999999992</v>
      </c>
      <c r="M418" s="17">
        <v>119802.43999999999</v>
      </c>
      <c r="O418" s="17">
        <f t="shared" ref="O418:O420" si="24">SUM(B418:M418)</f>
        <v>954439.0399999998</v>
      </c>
      <c r="P418" s="20"/>
    </row>
    <row r="419" spans="1:16" ht="15.75" customHeight="1">
      <c r="A419" s="16" t="s">
        <v>18</v>
      </c>
      <c r="B419" s="31">
        <v>4366.45</v>
      </c>
      <c r="C419" s="17">
        <v>5468.0899999999992</v>
      </c>
      <c r="D419" s="31">
        <v>10270.75</v>
      </c>
      <c r="E419" s="31">
        <v>17895.740000000002</v>
      </c>
      <c r="F419" s="17">
        <v>14682.060000000001</v>
      </c>
      <c r="G419" s="17">
        <v>17712.350000000002</v>
      </c>
      <c r="H419" s="17">
        <v>8357.7000000000007</v>
      </c>
      <c r="I419" s="17">
        <v>5329.8600000000006</v>
      </c>
      <c r="J419" s="17">
        <v>10528.04</v>
      </c>
      <c r="K419" s="17">
        <v>13611.030000000002</v>
      </c>
      <c r="L419" s="17">
        <v>8627.0499999999993</v>
      </c>
      <c r="M419" s="17">
        <v>16772.330000000002</v>
      </c>
      <c r="O419" s="17">
        <f t="shared" si="24"/>
        <v>133621.45000000001</v>
      </c>
      <c r="P419" s="20"/>
    </row>
    <row r="420" spans="1:16" ht="15.75" customHeight="1">
      <c r="A420" s="26" t="s">
        <v>19</v>
      </c>
      <c r="B420" s="31">
        <v>623.78</v>
      </c>
      <c r="C420" s="17">
        <v>781.16</v>
      </c>
      <c r="D420" s="31">
        <v>1467.25</v>
      </c>
      <c r="E420" s="31">
        <v>2556.54</v>
      </c>
      <c r="F420" s="17">
        <v>2097.42</v>
      </c>
      <c r="G420" s="17">
        <v>2530.33</v>
      </c>
      <c r="H420" s="17">
        <v>1193.9499999999998</v>
      </c>
      <c r="I420" s="17">
        <v>761.41</v>
      </c>
      <c r="J420" s="17">
        <v>1504.0100000000002</v>
      </c>
      <c r="K420" s="17">
        <v>1944.43</v>
      </c>
      <c r="L420" s="17">
        <v>1232.4399999999998</v>
      </c>
      <c r="M420" s="17">
        <v>2396.04</v>
      </c>
      <c r="O420" s="17">
        <f t="shared" si="24"/>
        <v>19088.760000000002</v>
      </c>
      <c r="P420" s="20"/>
    </row>
    <row r="421" spans="1:16" ht="15.75" customHeight="1">
      <c r="A421" s="26"/>
      <c r="B421" s="17"/>
      <c r="C421" s="17"/>
      <c r="D421" s="17"/>
      <c r="E421" s="17"/>
      <c r="F421" s="17"/>
      <c r="G421" s="17"/>
      <c r="H421" s="31"/>
      <c r="I421" s="17"/>
      <c r="J421" s="17"/>
      <c r="K421" s="17"/>
      <c r="L421" s="17"/>
      <c r="M421" s="17"/>
      <c r="O421" s="17"/>
      <c r="P421" s="20"/>
    </row>
    <row r="422" spans="1:16" ht="15.75" customHeight="1">
      <c r="A422" s="10" t="s">
        <v>40</v>
      </c>
      <c r="B422" s="17"/>
      <c r="C422" s="17"/>
      <c r="D422" s="17"/>
      <c r="E422" s="17"/>
      <c r="F422" s="17"/>
      <c r="G422" s="17"/>
      <c r="H422" s="31"/>
      <c r="I422" s="17"/>
      <c r="J422" s="17"/>
      <c r="K422" s="17"/>
      <c r="L422" s="17"/>
      <c r="M422" s="17"/>
      <c r="O422" s="17"/>
      <c r="P422" s="20"/>
    </row>
    <row r="423" spans="1:16" ht="15.75" customHeight="1">
      <c r="A423" s="11" t="s">
        <v>16</v>
      </c>
      <c r="B423" s="17"/>
      <c r="C423" s="17"/>
      <c r="D423" s="17"/>
      <c r="E423" s="17"/>
      <c r="F423" s="17"/>
      <c r="G423" s="17"/>
      <c r="H423" s="46">
        <v>10</v>
      </c>
      <c r="I423" s="35">
        <v>10</v>
      </c>
      <c r="J423" s="46">
        <v>10</v>
      </c>
      <c r="K423" s="46">
        <v>10</v>
      </c>
      <c r="L423" s="35">
        <v>10</v>
      </c>
      <c r="M423" s="46">
        <v>10</v>
      </c>
      <c r="O423" s="17"/>
      <c r="P423" s="20"/>
    </row>
    <row r="424" spans="1:16" ht="15.75" customHeight="1">
      <c r="A424" s="16" t="s">
        <v>17</v>
      </c>
      <c r="B424" s="17"/>
      <c r="C424" s="17"/>
      <c r="D424" s="17"/>
      <c r="E424" s="17"/>
      <c r="F424" s="17"/>
      <c r="G424" s="17"/>
      <c r="H424" s="31">
        <v>32604.25</v>
      </c>
      <c r="I424" s="17">
        <v>193235.20000000001</v>
      </c>
      <c r="J424" s="17">
        <v>155731.88</v>
      </c>
      <c r="K424" s="17">
        <v>105725.7</v>
      </c>
      <c r="L424" s="17">
        <v>72412.23</v>
      </c>
      <c r="M424" s="17">
        <v>99133.89</v>
      </c>
      <c r="O424" s="17">
        <f>SUM(B424:M424)</f>
        <v>658843.15</v>
      </c>
      <c r="P424" s="20"/>
    </row>
    <row r="425" spans="1:16" ht="15.75" customHeight="1">
      <c r="A425" s="16" t="s">
        <v>18</v>
      </c>
      <c r="B425" s="17"/>
      <c r="C425" s="17"/>
      <c r="D425" s="17"/>
      <c r="E425" s="17"/>
      <c r="F425" s="17"/>
      <c r="G425" s="17"/>
      <c r="H425" s="31">
        <v>4564.59</v>
      </c>
      <c r="I425" s="17">
        <v>27052.93</v>
      </c>
      <c r="J425" s="17">
        <v>21802.47</v>
      </c>
      <c r="K425" s="17">
        <v>14801.59</v>
      </c>
      <c r="L425" s="17">
        <v>10137.709999999999</v>
      </c>
      <c r="M425" s="17">
        <v>13878.75</v>
      </c>
      <c r="O425" s="17">
        <f>SUM(B425:M425)</f>
        <v>92238.040000000008</v>
      </c>
      <c r="P425" s="20"/>
    </row>
    <row r="426" spans="1:16" ht="15.75" customHeight="1">
      <c r="A426" s="16" t="s">
        <v>19</v>
      </c>
      <c r="B426" s="17"/>
      <c r="C426" s="17"/>
      <c r="D426" s="17"/>
      <c r="E426" s="17"/>
      <c r="F426" s="17"/>
      <c r="G426" s="17"/>
      <c r="H426" s="31">
        <v>652.07999999999993</v>
      </c>
      <c r="I426" s="17">
        <v>3864.7</v>
      </c>
      <c r="J426" s="17">
        <v>3114.6400000000003</v>
      </c>
      <c r="K426" s="17">
        <v>2114.52</v>
      </c>
      <c r="L426" s="17">
        <v>1448.25</v>
      </c>
      <c r="M426" s="17">
        <v>1982.6899999999998</v>
      </c>
      <c r="O426" s="17">
        <f>SUM(B426:M426)</f>
        <v>13176.880000000001</v>
      </c>
      <c r="P426" s="20"/>
    </row>
    <row r="427" spans="1:16" ht="15.75" customHeight="1">
      <c r="A427" s="11" t="s">
        <v>20</v>
      </c>
      <c r="B427" s="17"/>
      <c r="C427" s="17"/>
      <c r="D427" s="17"/>
      <c r="E427" s="17"/>
      <c r="F427" s="17"/>
      <c r="G427" s="17"/>
      <c r="H427" s="46">
        <v>0</v>
      </c>
      <c r="I427" s="35">
        <v>0</v>
      </c>
      <c r="J427" s="46">
        <v>0</v>
      </c>
      <c r="K427" s="46">
        <v>0</v>
      </c>
      <c r="L427" s="35">
        <v>0</v>
      </c>
      <c r="M427" s="46">
        <v>0</v>
      </c>
      <c r="O427" s="12"/>
      <c r="P427" s="20"/>
    </row>
    <row r="428" spans="1:16" ht="15.75" customHeight="1">
      <c r="A428" s="16" t="s">
        <v>17</v>
      </c>
      <c r="B428" s="17"/>
      <c r="C428" s="17"/>
      <c r="D428" s="17"/>
      <c r="E428" s="17"/>
      <c r="F428" s="17"/>
      <c r="G428" s="17"/>
      <c r="H428" s="31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O428" s="17">
        <f>SUM(B428:M428)</f>
        <v>0</v>
      </c>
      <c r="P428" s="20"/>
    </row>
    <row r="429" spans="1:16" ht="15.75" customHeight="1">
      <c r="A429" s="16" t="s">
        <v>18</v>
      </c>
      <c r="B429" s="17"/>
      <c r="C429" s="17"/>
      <c r="D429" s="17"/>
      <c r="E429" s="17"/>
      <c r="F429" s="17"/>
      <c r="G429" s="17"/>
      <c r="H429" s="31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O429" s="17">
        <f>SUM(B429:M429)</f>
        <v>0</v>
      </c>
      <c r="P429" s="20"/>
    </row>
    <row r="430" spans="1:16" ht="15.75" customHeight="1">
      <c r="A430" s="16" t="s">
        <v>19</v>
      </c>
      <c r="B430" s="17"/>
      <c r="C430" s="17"/>
      <c r="D430" s="17"/>
      <c r="E430" s="17"/>
      <c r="F430" s="17"/>
      <c r="G430" s="17"/>
      <c r="H430" s="31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O430" s="17">
        <f>SUM(B430:M430)</f>
        <v>0</v>
      </c>
      <c r="P430" s="20"/>
    </row>
    <row r="431" spans="1:16" ht="15.75" customHeight="1">
      <c r="A431" s="11" t="s">
        <v>21</v>
      </c>
      <c r="B431" s="17"/>
      <c r="C431" s="17"/>
      <c r="D431" s="17"/>
      <c r="E431" s="17"/>
      <c r="F431" s="17"/>
      <c r="G431" s="17"/>
      <c r="H431" s="46">
        <v>0</v>
      </c>
      <c r="I431" s="35">
        <v>0</v>
      </c>
      <c r="J431" s="46">
        <v>0</v>
      </c>
      <c r="K431" s="46">
        <v>0</v>
      </c>
      <c r="L431" s="35">
        <v>0</v>
      </c>
      <c r="M431" s="46">
        <v>0</v>
      </c>
      <c r="O431" s="12"/>
      <c r="P431" s="20"/>
    </row>
    <row r="432" spans="1:16" ht="15.75" customHeight="1">
      <c r="A432" s="16" t="s">
        <v>17</v>
      </c>
      <c r="B432" s="17"/>
      <c r="C432" s="17"/>
      <c r="D432" s="17"/>
      <c r="E432" s="17"/>
      <c r="F432" s="17"/>
      <c r="G432" s="17"/>
      <c r="H432" s="31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O432" s="17">
        <f t="shared" ref="O432:O442" si="25">SUM(B432:M432)</f>
        <v>0</v>
      </c>
      <c r="P432" s="20"/>
    </row>
    <row r="433" spans="1:16" ht="15.75" customHeight="1">
      <c r="A433" s="16" t="s">
        <v>18</v>
      </c>
      <c r="B433" s="17"/>
      <c r="C433" s="17"/>
      <c r="D433" s="17"/>
      <c r="E433" s="17"/>
      <c r="F433" s="17"/>
      <c r="G433" s="17"/>
      <c r="H433" s="31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O433" s="17">
        <f t="shared" si="25"/>
        <v>0</v>
      </c>
      <c r="P433" s="20"/>
    </row>
    <row r="434" spans="1:16" ht="15.75" customHeight="1">
      <c r="A434" s="16" t="s">
        <v>19</v>
      </c>
      <c r="B434" s="17"/>
      <c r="C434" s="17"/>
      <c r="D434" s="17"/>
      <c r="E434" s="17"/>
      <c r="F434" s="17"/>
      <c r="G434" s="17"/>
      <c r="H434" s="31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O434" s="17">
        <f t="shared" si="25"/>
        <v>0</v>
      </c>
      <c r="P434" s="20"/>
    </row>
    <row r="435" spans="1:16" ht="15.75" customHeight="1">
      <c r="A435" s="11" t="s">
        <v>22</v>
      </c>
      <c r="B435" s="17"/>
      <c r="C435" s="17"/>
      <c r="D435" s="17"/>
      <c r="E435" s="17"/>
      <c r="F435" s="17"/>
      <c r="G435" s="17"/>
      <c r="H435" s="46">
        <v>0</v>
      </c>
      <c r="I435" s="35">
        <v>0</v>
      </c>
      <c r="J435" s="46">
        <v>0</v>
      </c>
      <c r="K435" s="46">
        <v>0</v>
      </c>
      <c r="L435" s="35">
        <v>0</v>
      </c>
      <c r="M435" s="46">
        <v>0</v>
      </c>
      <c r="O435" s="12"/>
      <c r="P435" s="20"/>
    </row>
    <row r="436" spans="1:16" ht="15.75" customHeight="1">
      <c r="A436" s="16" t="s">
        <v>17</v>
      </c>
      <c r="B436" s="17"/>
      <c r="C436" s="17"/>
      <c r="D436" s="17"/>
      <c r="E436" s="17"/>
      <c r="F436" s="17"/>
      <c r="G436" s="17"/>
      <c r="H436" s="31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O436" s="17">
        <f t="shared" si="25"/>
        <v>0</v>
      </c>
      <c r="P436" s="20"/>
    </row>
    <row r="437" spans="1:16" ht="15.75" customHeight="1">
      <c r="A437" s="16" t="s">
        <v>18</v>
      </c>
      <c r="B437" s="17"/>
      <c r="C437" s="17"/>
      <c r="D437" s="17"/>
      <c r="E437" s="17"/>
      <c r="F437" s="17"/>
      <c r="G437" s="17"/>
      <c r="H437" s="31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O437" s="17">
        <f t="shared" si="25"/>
        <v>0</v>
      </c>
      <c r="P437" s="20"/>
    </row>
    <row r="438" spans="1:16" ht="15.75" customHeight="1">
      <c r="A438" s="16" t="s">
        <v>19</v>
      </c>
      <c r="B438" s="17"/>
      <c r="C438" s="17"/>
      <c r="D438" s="17"/>
      <c r="E438" s="17"/>
      <c r="F438" s="17"/>
      <c r="G438" s="17"/>
      <c r="H438" s="31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O438" s="17">
        <f t="shared" si="25"/>
        <v>0</v>
      </c>
      <c r="P438" s="20"/>
    </row>
    <row r="439" spans="1:16" ht="15.75" customHeight="1">
      <c r="A439" s="11" t="s">
        <v>23</v>
      </c>
      <c r="B439" s="17"/>
      <c r="C439" s="17"/>
      <c r="D439" s="17"/>
      <c r="E439" s="17"/>
      <c r="F439" s="17"/>
      <c r="G439" s="17"/>
      <c r="H439" s="46">
        <v>0</v>
      </c>
      <c r="I439" s="35">
        <v>0</v>
      </c>
      <c r="J439" s="46">
        <v>0</v>
      </c>
      <c r="K439" s="46">
        <v>0</v>
      </c>
      <c r="L439" s="35">
        <v>0</v>
      </c>
      <c r="M439" s="46">
        <v>0</v>
      </c>
      <c r="O439" s="12"/>
      <c r="P439" s="20"/>
    </row>
    <row r="440" spans="1:16" ht="15.75" customHeight="1">
      <c r="A440" s="16" t="s">
        <v>17</v>
      </c>
      <c r="B440" s="17"/>
      <c r="C440" s="17"/>
      <c r="D440" s="17"/>
      <c r="E440" s="17"/>
      <c r="F440" s="17"/>
      <c r="G440" s="17"/>
      <c r="H440" s="31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0</v>
      </c>
      <c r="O440" s="17">
        <f t="shared" si="25"/>
        <v>0</v>
      </c>
      <c r="P440" s="20"/>
    </row>
    <row r="441" spans="1:16" ht="15.75" customHeight="1">
      <c r="A441" s="16" t="s">
        <v>18</v>
      </c>
      <c r="B441" s="17"/>
      <c r="C441" s="17"/>
      <c r="D441" s="17"/>
      <c r="E441" s="17"/>
      <c r="F441" s="17"/>
      <c r="G441" s="17"/>
      <c r="H441" s="31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O441" s="17">
        <f t="shared" si="25"/>
        <v>0</v>
      </c>
      <c r="P441" s="20"/>
    </row>
    <row r="442" spans="1:16" ht="15.75" customHeight="1">
      <c r="A442" s="16" t="s">
        <v>19</v>
      </c>
      <c r="B442" s="17"/>
      <c r="C442" s="17"/>
      <c r="D442" s="17"/>
      <c r="E442" s="17"/>
      <c r="F442" s="17"/>
      <c r="G442" s="17"/>
      <c r="H442" s="31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O442" s="17">
        <f t="shared" si="25"/>
        <v>0</v>
      </c>
      <c r="P442" s="20"/>
    </row>
    <row r="443" spans="1:16" ht="15.75" customHeight="1">
      <c r="A443" s="25" t="s">
        <v>24</v>
      </c>
      <c r="B443" s="17"/>
      <c r="C443" s="17"/>
      <c r="D443" s="17"/>
      <c r="E443" s="17"/>
      <c r="F443" s="17"/>
      <c r="G443" s="17"/>
      <c r="H443" s="46">
        <v>10</v>
      </c>
      <c r="I443" s="35">
        <v>10</v>
      </c>
      <c r="J443" s="46">
        <v>10</v>
      </c>
      <c r="K443" s="46">
        <v>10</v>
      </c>
      <c r="L443" s="35">
        <v>10</v>
      </c>
      <c r="M443" s="46">
        <v>10</v>
      </c>
      <c r="O443" s="12"/>
      <c r="P443" s="20"/>
    </row>
    <row r="444" spans="1:16" ht="15.75" customHeight="1">
      <c r="A444" s="26" t="s">
        <v>17</v>
      </c>
      <c r="B444" s="17"/>
      <c r="C444" s="17"/>
      <c r="D444" s="17"/>
      <c r="E444" s="17"/>
      <c r="F444" s="17"/>
      <c r="G444" s="17"/>
      <c r="H444" s="31">
        <v>32604.25</v>
      </c>
      <c r="I444" s="17">
        <v>193235.20000000001</v>
      </c>
      <c r="J444" s="17">
        <v>155731.88</v>
      </c>
      <c r="K444" s="17">
        <v>105725.7</v>
      </c>
      <c r="L444" s="17">
        <v>72412.23</v>
      </c>
      <c r="M444" s="17">
        <v>99133.89</v>
      </c>
      <c r="O444" s="17">
        <f t="shared" ref="O444:O446" si="26">SUM(B444:M444)</f>
        <v>658843.15</v>
      </c>
      <c r="P444" s="20"/>
    </row>
    <row r="445" spans="1:16" ht="15.75" customHeight="1">
      <c r="A445" s="16" t="s">
        <v>18</v>
      </c>
      <c r="B445" s="17"/>
      <c r="C445" s="17"/>
      <c r="D445" s="17"/>
      <c r="E445" s="17"/>
      <c r="F445" s="17"/>
      <c r="G445" s="17"/>
      <c r="H445" s="31">
        <v>4564.59</v>
      </c>
      <c r="I445" s="17">
        <v>27052.93</v>
      </c>
      <c r="J445" s="17">
        <v>21802.47</v>
      </c>
      <c r="K445" s="17">
        <v>14801.59</v>
      </c>
      <c r="L445" s="17">
        <v>10137.709999999999</v>
      </c>
      <c r="M445" s="17">
        <v>13878.75</v>
      </c>
      <c r="O445" s="17">
        <f t="shared" si="26"/>
        <v>92238.040000000008</v>
      </c>
      <c r="P445" s="20"/>
    </row>
    <row r="446" spans="1:16" ht="15.75" customHeight="1">
      <c r="A446" s="26" t="s">
        <v>19</v>
      </c>
      <c r="B446" s="17"/>
      <c r="C446" s="17"/>
      <c r="D446" s="17"/>
      <c r="E446" s="17"/>
      <c r="F446" s="17"/>
      <c r="G446" s="17"/>
      <c r="H446" s="31">
        <v>652.07999999999993</v>
      </c>
      <c r="I446" s="17">
        <v>3864.7</v>
      </c>
      <c r="J446" s="17">
        <v>3114.6400000000003</v>
      </c>
      <c r="K446" s="17">
        <v>2114.52</v>
      </c>
      <c r="L446" s="17">
        <v>1448.25</v>
      </c>
      <c r="M446" s="17">
        <v>1982.6899999999998</v>
      </c>
      <c r="O446" s="17">
        <f t="shared" si="26"/>
        <v>13176.880000000001</v>
      </c>
      <c r="P446" s="20"/>
    </row>
    <row r="447" spans="1:16" ht="15.75" customHeight="1">
      <c r="A447" s="26"/>
      <c r="B447" s="17"/>
      <c r="C447" s="17"/>
      <c r="D447" s="17"/>
      <c r="E447" s="17"/>
      <c r="F447" s="17"/>
      <c r="G447" s="17"/>
      <c r="H447" s="31"/>
      <c r="I447" s="17"/>
      <c r="J447" s="17"/>
      <c r="K447" s="17"/>
      <c r="L447" s="17"/>
      <c r="M447" s="17"/>
      <c r="O447" s="17"/>
      <c r="P447" s="20"/>
    </row>
    <row r="448" spans="1:16" ht="15.75" customHeight="1">
      <c r="A448" s="26"/>
      <c r="B448" s="17"/>
      <c r="C448" s="17"/>
      <c r="D448" s="31"/>
      <c r="E448" s="31"/>
      <c r="F448" s="17"/>
      <c r="G448" s="17"/>
      <c r="H448" s="31"/>
      <c r="I448" s="17"/>
      <c r="J448" s="17"/>
      <c r="K448" s="17"/>
      <c r="L448" s="17"/>
      <c r="M448" s="17"/>
      <c r="O448" s="17"/>
      <c r="P448" s="20"/>
    </row>
    <row r="449" spans="1:16" ht="15.75" customHeight="1">
      <c r="A449" s="5" t="s">
        <v>41</v>
      </c>
      <c r="B449" s="27"/>
      <c r="C449" s="17"/>
      <c r="D449" s="17"/>
      <c r="E449" s="27"/>
      <c r="F449" s="27"/>
      <c r="G449" s="27"/>
      <c r="I449" s="27"/>
      <c r="J449" s="27"/>
      <c r="K449" s="28"/>
      <c r="L449" s="17"/>
      <c r="M449" s="17"/>
      <c r="O449" s="27"/>
      <c r="P449" s="20"/>
    </row>
    <row r="450" spans="1:16" ht="15.75" customHeight="1">
      <c r="A450" s="11" t="s">
        <v>16</v>
      </c>
      <c r="B450" s="34">
        <v>1398.6</v>
      </c>
      <c r="C450" s="34">
        <v>1400.8</v>
      </c>
      <c r="D450" s="35">
        <v>1404</v>
      </c>
      <c r="E450" s="34">
        <v>1408.1000000000001</v>
      </c>
      <c r="F450" s="34">
        <v>1389</v>
      </c>
      <c r="G450" s="34">
        <v>1408.2</v>
      </c>
      <c r="H450" s="34">
        <v>1434.3333333333333</v>
      </c>
      <c r="I450" s="34">
        <v>1432.4</v>
      </c>
      <c r="J450" s="34">
        <v>1423</v>
      </c>
      <c r="K450" s="36">
        <v>1421.6</v>
      </c>
      <c r="L450" s="35">
        <v>1414</v>
      </c>
      <c r="M450" s="35">
        <v>1418.6</v>
      </c>
      <c r="O450" s="12"/>
      <c r="P450" s="20"/>
    </row>
    <row r="451" spans="1:16" ht="15.75" customHeight="1">
      <c r="A451" s="16" t="s">
        <v>17</v>
      </c>
      <c r="B451" s="17">
        <v>86683277.770000011</v>
      </c>
      <c r="C451" s="17">
        <v>78453939.25999999</v>
      </c>
      <c r="D451" s="31">
        <v>81620803.679999977</v>
      </c>
      <c r="E451" s="17">
        <v>79848316.230000004</v>
      </c>
      <c r="F451" s="17">
        <v>79231465.530000001</v>
      </c>
      <c r="G451" s="17">
        <v>81655998.090000004</v>
      </c>
      <c r="H451" s="17">
        <v>83912665.530000001</v>
      </c>
      <c r="I451" s="17">
        <v>74505042.359999999</v>
      </c>
      <c r="J451" s="17">
        <v>85880299.070000008</v>
      </c>
      <c r="K451" s="18">
        <v>84373687.379999995</v>
      </c>
      <c r="L451" s="17">
        <v>81648355.239999995</v>
      </c>
      <c r="M451" s="17">
        <v>76204262.310000002</v>
      </c>
      <c r="O451" s="17">
        <f>SUM(B451:M451)</f>
        <v>974018112.45000005</v>
      </c>
      <c r="P451" s="20"/>
    </row>
    <row r="452" spans="1:16" ht="15.75" customHeight="1">
      <c r="A452" s="16" t="s">
        <v>18</v>
      </c>
      <c r="B452" s="17">
        <v>12245099.77</v>
      </c>
      <c r="C452" s="17">
        <v>11062246.139999999</v>
      </c>
      <c r="D452" s="31">
        <v>11536191.48</v>
      </c>
      <c r="E452" s="17">
        <v>11296545.720000001</v>
      </c>
      <c r="F452" s="17">
        <v>11197658.879999999</v>
      </c>
      <c r="G452" s="17">
        <v>11632122.379999999</v>
      </c>
      <c r="H452" s="17">
        <v>11990864.200000001</v>
      </c>
      <c r="I452" s="17">
        <v>10668894.860000001</v>
      </c>
      <c r="J452" s="17">
        <v>12300089.75</v>
      </c>
      <c r="K452" s="18">
        <v>12133130.919999998</v>
      </c>
      <c r="L452" s="17">
        <v>11704781.82</v>
      </c>
      <c r="M452" s="17">
        <v>10902754.260000002</v>
      </c>
      <c r="O452" s="17">
        <f>SUM(B452:M452)</f>
        <v>138670380.17999998</v>
      </c>
      <c r="P452" s="20"/>
    </row>
    <row r="453" spans="1:16" ht="15.75" customHeight="1">
      <c r="A453" s="16" t="s">
        <v>19</v>
      </c>
      <c r="B453" s="17">
        <v>1733665.6400000004</v>
      </c>
      <c r="C453" s="17">
        <v>1569078.94</v>
      </c>
      <c r="D453" s="31">
        <v>1632416.1700000002</v>
      </c>
      <c r="E453" s="17">
        <v>1596966.5</v>
      </c>
      <c r="F453" s="17">
        <v>1584629.38</v>
      </c>
      <c r="G453" s="17">
        <v>1633120.0900000003</v>
      </c>
      <c r="H453" s="17">
        <v>1678253.45</v>
      </c>
      <c r="I453" s="17">
        <v>1490100.9900000002</v>
      </c>
      <c r="J453" s="17">
        <v>1717606.09</v>
      </c>
      <c r="K453" s="18">
        <v>1687473.73</v>
      </c>
      <c r="L453" s="17">
        <v>1632967.2200000002</v>
      </c>
      <c r="M453" s="17">
        <v>1524085.41</v>
      </c>
      <c r="O453" s="17">
        <f>SUM(B453:M453)</f>
        <v>19480363.609999999</v>
      </c>
      <c r="P453" s="20"/>
    </row>
    <row r="454" spans="1:16" ht="15.75" customHeight="1">
      <c r="A454" s="11" t="s">
        <v>20</v>
      </c>
      <c r="B454" s="12">
        <v>211.6</v>
      </c>
      <c r="C454" s="12">
        <v>214.4</v>
      </c>
      <c r="D454" s="35">
        <v>214</v>
      </c>
      <c r="E454" s="12">
        <v>214</v>
      </c>
      <c r="F454" s="12">
        <v>208.4</v>
      </c>
      <c r="G454" s="12">
        <v>207</v>
      </c>
      <c r="H454" s="12">
        <v>211</v>
      </c>
      <c r="I454" s="12">
        <v>213</v>
      </c>
      <c r="J454" s="12">
        <v>210.6</v>
      </c>
      <c r="K454" s="13">
        <v>210</v>
      </c>
      <c r="L454" s="12">
        <v>210</v>
      </c>
      <c r="M454" s="12">
        <v>210</v>
      </c>
      <c r="O454" s="12"/>
      <c r="P454" s="20"/>
    </row>
    <row r="455" spans="1:16" ht="15.75" customHeight="1">
      <c r="A455" s="16" t="s">
        <v>17</v>
      </c>
      <c r="B455" s="17">
        <v>4412591.26</v>
      </c>
      <c r="C455" s="17">
        <v>3985112.05</v>
      </c>
      <c r="D455" s="31">
        <v>3705377</v>
      </c>
      <c r="E455" s="17">
        <v>3891632.0300000003</v>
      </c>
      <c r="F455" s="17">
        <v>3816663</v>
      </c>
      <c r="G455" s="17">
        <v>4000175.01</v>
      </c>
      <c r="H455" s="17">
        <v>4255955</v>
      </c>
      <c r="I455" s="17">
        <v>4071669</v>
      </c>
      <c r="J455" s="17">
        <v>4483413.0199999996</v>
      </c>
      <c r="K455" s="18">
        <v>4179916</v>
      </c>
      <c r="L455" s="17">
        <v>4178739.3</v>
      </c>
      <c r="M455" s="17">
        <v>4178480.26</v>
      </c>
      <c r="O455" s="17">
        <f>SUM(B455:M455)</f>
        <v>49159722.93</v>
      </c>
      <c r="P455" s="20"/>
    </row>
    <row r="456" spans="1:16" ht="15.75" customHeight="1">
      <c r="A456" s="16" t="s">
        <v>18</v>
      </c>
      <c r="B456" s="17">
        <v>617762.78</v>
      </c>
      <c r="C456" s="17">
        <v>557915.68999999994</v>
      </c>
      <c r="D456" s="31">
        <v>518752.77999999997</v>
      </c>
      <c r="E456" s="17">
        <v>544828.4800000001</v>
      </c>
      <c r="F456" s="17">
        <v>534332.81999999995</v>
      </c>
      <c r="G456" s="17">
        <v>560024.5</v>
      </c>
      <c r="H456" s="17">
        <v>595833.70000000007</v>
      </c>
      <c r="I456" s="17">
        <v>570033.66</v>
      </c>
      <c r="J456" s="17">
        <v>627677.82000000007</v>
      </c>
      <c r="K456" s="18">
        <v>585188.24</v>
      </c>
      <c r="L456" s="17">
        <v>585023.5</v>
      </c>
      <c r="M456" s="17">
        <v>584987.24</v>
      </c>
      <c r="O456" s="17">
        <f>SUM(B456:M456)</f>
        <v>6882361.2100000009</v>
      </c>
      <c r="P456" s="20"/>
    </row>
    <row r="457" spans="1:16" ht="15.75" customHeight="1">
      <c r="A457" s="16" t="s">
        <v>19</v>
      </c>
      <c r="B457" s="17">
        <v>88251.83</v>
      </c>
      <c r="C457" s="17">
        <v>79702.240000000005</v>
      </c>
      <c r="D457" s="31">
        <v>74107.540000000008</v>
      </c>
      <c r="E457" s="17">
        <v>77832.640000000014</v>
      </c>
      <c r="F457" s="17">
        <v>76333.260000000009</v>
      </c>
      <c r="G457" s="17">
        <v>80003.5</v>
      </c>
      <c r="H457" s="17">
        <v>85119.099999999991</v>
      </c>
      <c r="I457" s="17">
        <v>81433.38</v>
      </c>
      <c r="J457" s="17">
        <v>89668.260000000009</v>
      </c>
      <c r="K457" s="18">
        <v>83598.319999999992</v>
      </c>
      <c r="L457" s="17">
        <v>83574.790000000008</v>
      </c>
      <c r="M457" s="17">
        <v>83569.609999999986</v>
      </c>
      <c r="O457" s="17">
        <f>SUM(B457:M457)</f>
        <v>983194.47</v>
      </c>
      <c r="P457" s="20"/>
    </row>
    <row r="458" spans="1:16" ht="15.75" customHeight="1">
      <c r="A458" s="11" t="s">
        <v>21</v>
      </c>
      <c r="B458" s="46">
        <v>1054.8</v>
      </c>
      <c r="C458" s="46">
        <v>1053.5999999999999</v>
      </c>
      <c r="D458" s="35">
        <v>1056</v>
      </c>
      <c r="E458" s="46">
        <v>1055.1666666666667</v>
      </c>
      <c r="F458" s="12">
        <v>1039.5999999999999</v>
      </c>
      <c r="G458" s="12">
        <v>1056.2</v>
      </c>
      <c r="H458" s="12">
        <v>1058</v>
      </c>
      <c r="I458" s="12">
        <v>1039.5999999999999</v>
      </c>
      <c r="J458" s="12">
        <v>1030.5999999999999</v>
      </c>
      <c r="K458" s="13">
        <v>1028.5999999999999</v>
      </c>
      <c r="L458" s="12">
        <v>1023</v>
      </c>
      <c r="M458" s="12">
        <v>1018.6</v>
      </c>
      <c r="O458" s="12"/>
      <c r="P458" s="20"/>
    </row>
    <row r="459" spans="1:16" ht="15.75" customHeight="1">
      <c r="A459" s="16" t="s">
        <v>17</v>
      </c>
      <c r="B459" s="17">
        <v>78938904.920000002</v>
      </c>
      <c r="C459" s="17">
        <v>71125509.25</v>
      </c>
      <c r="D459" s="31">
        <v>75012748.039999992</v>
      </c>
      <c r="E459" s="17">
        <v>72605049.539999992</v>
      </c>
      <c r="F459" s="17">
        <v>72271844.069999993</v>
      </c>
      <c r="G459" s="17">
        <v>74318869.079999998</v>
      </c>
      <c r="H459" s="17">
        <v>76345674.329999998</v>
      </c>
      <c r="I459" s="17">
        <v>67046316.150000006</v>
      </c>
      <c r="J459" s="17">
        <v>77601940.11999999</v>
      </c>
      <c r="K459" s="18">
        <v>76322376.439999998</v>
      </c>
      <c r="L459" s="17">
        <v>74095813.63000001</v>
      </c>
      <c r="M459" s="17">
        <v>68845852.609999999</v>
      </c>
      <c r="O459" s="17">
        <f t="shared" ref="O459:O465" si="27">SUM(B459:M459)</f>
        <v>884530898.18000007</v>
      </c>
      <c r="P459" s="20"/>
    </row>
    <row r="460" spans="1:16" ht="15.75" customHeight="1">
      <c r="A460" s="16" t="s">
        <v>18</v>
      </c>
      <c r="B460" s="17">
        <v>11051446.799999999</v>
      </c>
      <c r="C460" s="17">
        <v>9957571.4100000001</v>
      </c>
      <c r="D460" s="31">
        <v>10501784.809999999</v>
      </c>
      <c r="E460" s="17">
        <v>10164707.100000001</v>
      </c>
      <c r="F460" s="17">
        <v>10118058.280000001</v>
      </c>
      <c r="G460" s="17">
        <v>10404641.75</v>
      </c>
      <c r="H460" s="17">
        <v>10688394.58</v>
      </c>
      <c r="I460" s="17">
        <v>9386484.4099999983</v>
      </c>
      <c r="J460" s="17">
        <v>10864271.68</v>
      </c>
      <c r="K460" s="18">
        <v>10685132.789999999</v>
      </c>
      <c r="L460" s="17">
        <v>10373413.989999998</v>
      </c>
      <c r="M460" s="17">
        <v>9638419.4500000011</v>
      </c>
      <c r="O460" s="17">
        <f t="shared" si="27"/>
        <v>123834327.04999998</v>
      </c>
      <c r="P460" s="20"/>
    </row>
    <row r="461" spans="1:16" ht="15.75" customHeight="1">
      <c r="A461" s="16" t="s">
        <v>19</v>
      </c>
      <c r="B461" s="17">
        <v>1578778.1900000002</v>
      </c>
      <c r="C461" s="17">
        <v>1422510.3</v>
      </c>
      <c r="D461" s="31">
        <v>1500255.0400000003</v>
      </c>
      <c r="E461" s="17">
        <v>1452101.13</v>
      </c>
      <c r="F461" s="17">
        <v>1445436.9799999997</v>
      </c>
      <c r="G461" s="17">
        <v>1486377.4900000002</v>
      </c>
      <c r="H461" s="17">
        <v>1526913.66</v>
      </c>
      <c r="I461" s="17">
        <v>1340926.46</v>
      </c>
      <c r="J461" s="17">
        <v>1552038.8900000001</v>
      </c>
      <c r="K461" s="18">
        <v>1526447.5300000003</v>
      </c>
      <c r="L461" s="17">
        <v>1481916.3600000003</v>
      </c>
      <c r="M461" s="17">
        <v>1376917.1599999997</v>
      </c>
      <c r="O461" s="17">
        <f t="shared" si="27"/>
        <v>17690619.190000001</v>
      </c>
      <c r="P461" s="20"/>
    </row>
    <row r="462" spans="1:16" ht="15.75" customHeight="1">
      <c r="A462" s="11" t="s">
        <v>22</v>
      </c>
      <c r="B462" s="12">
        <v>0</v>
      </c>
      <c r="C462" s="12">
        <v>0</v>
      </c>
      <c r="D462" s="35">
        <v>0</v>
      </c>
      <c r="E462" s="12">
        <v>0</v>
      </c>
      <c r="F462" s="12">
        <v>0</v>
      </c>
      <c r="G462" s="12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O462" s="12"/>
      <c r="P462" s="20"/>
    </row>
    <row r="463" spans="1:16" ht="15.75" customHeight="1">
      <c r="A463" s="16" t="s">
        <v>17</v>
      </c>
      <c r="B463" s="17">
        <v>0</v>
      </c>
      <c r="C463" s="17">
        <v>0</v>
      </c>
      <c r="D463" s="31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8">
        <v>0</v>
      </c>
      <c r="L463" s="17">
        <v>0</v>
      </c>
      <c r="M463" s="17">
        <v>0</v>
      </c>
      <c r="O463" s="17">
        <f t="shared" si="27"/>
        <v>0</v>
      </c>
      <c r="P463" s="20"/>
    </row>
    <row r="464" spans="1:16" ht="15.75" customHeight="1">
      <c r="A464" s="16" t="s">
        <v>18</v>
      </c>
      <c r="B464" s="17">
        <v>0</v>
      </c>
      <c r="C464" s="17">
        <v>0</v>
      </c>
      <c r="D464" s="31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8">
        <v>0</v>
      </c>
      <c r="L464" s="17">
        <v>0</v>
      </c>
      <c r="M464" s="17">
        <v>0</v>
      </c>
      <c r="O464" s="17">
        <f t="shared" si="27"/>
        <v>0</v>
      </c>
      <c r="P464" s="20"/>
    </row>
    <row r="465" spans="1:16" ht="15.75" customHeight="1">
      <c r="A465" s="16" t="s">
        <v>19</v>
      </c>
      <c r="B465" s="17">
        <v>0</v>
      </c>
      <c r="C465" s="17">
        <v>0</v>
      </c>
      <c r="D465" s="31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8">
        <v>0</v>
      </c>
      <c r="L465" s="17">
        <v>0</v>
      </c>
      <c r="M465" s="17">
        <v>0</v>
      </c>
      <c r="O465" s="17">
        <f t="shared" si="27"/>
        <v>0</v>
      </c>
      <c r="P465" s="20"/>
    </row>
    <row r="466" spans="1:16" ht="15.75" customHeight="1">
      <c r="A466" s="11" t="s">
        <v>23</v>
      </c>
      <c r="B466" s="12">
        <v>15</v>
      </c>
      <c r="C466" s="12">
        <v>15</v>
      </c>
      <c r="D466" s="35">
        <v>16</v>
      </c>
      <c r="E466" s="12">
        <v>22.5</v>
      </c>
      <c r="F466" s="12">
        <v>26</v>
      </c>
      <c r="G466" s="12">
        <v>35.799999999999997</v>
      </c>
      <c r="H466" s="12">
        <v>53.333333333333336</v>
      </c>
      <c r="I466" s="12">
        <v>60</v>
      </c>
      <c r="J466" s="12">
        <v>60</v>
      </c>
      <c r="K466" s="13">
        <v>60</v>
      </c>
      <c r="L466" s="12">
        <v>60</v>
      </c>
      <c r="M466" s="12">
        <v>69</v>
      </c>
      <c r="O466" s="12"/>
      <c r="P466" s="20"/>
    </row>
    <row r="467" spans="1:16" ht="15.75" customHeight="1">
      <c r="A467" s="16" t="s">
        <v>17</v>
      </c>
      <c r="B467" s="17">
        <v>321884.5</v>
      </c>
      <c r="C467" s="17">
        <v>231454.5</v>
      </c>
      <c r="D467" s="31">
        <v>321408.46000000002</v>
      </c>
      <c r="E467" s="17">
        <v>346415.67</v>
      </c>
      <c r="F467" s="17">
        <v>309569.46000000002</v>
      </c>
      <c r="G467" s="17">
        <v>589066.30000000005</v>
      </c>
      <c r="H467" s="17">
        <v>714973.03999999992</v>
      </c>
      <c r="I467" s="17">
        <v>700555.21</v>
      </c>
      <c r="J467" s="17">
        <v>814258.13</v>
      </c>
      <c r="K467" s="18">
        <v>943572.5</v>
      </c>
      <c r="L467" s="17">
        <v>805917.74000000011</v>
      </c>
      <c r="M467" s="17">
        <v>688698.3</v>
      </c>
      <c r="O467" s="17">
        <f>SUM(B467:M467)</f>
        <v>6787773.8099999996</v>
      </c>
      <c r="P467" s="20"/>
    </row>
    <row r="468" spans="1:16" ht="15.75" customHeight="1">
      <c r="A468" s="16" t="s">
        <v>18</v>
      </c>
      <c r="B468" s="17">
        <v>154504.56</v>
      </c>
      <c r="C468" s="17">
        <v>111098.16</v>
      </c>
      <c r="D468" s="31">
        <v>154276.04999999999</v>
      </c>
      <c r="E468" s="17">
        <v>166279.49999999997</v>
      </c>
      <c r="F468" s="17">
        <v>148593.31999999998</v>
      </c>
      <c r="G468" s="17">
        <v>282751.83</v>
      </c>
      <c r="H468" s="17">
        <v>343187.05</v>
      </c>
      <c r="I468" s="17">
        <v>336266.5</v>
      </c>
      <c r="J468" s="17">
        <v>390843.91</v>
      </c>
      <c r="K468" s="18">
        <v>452914.79</v>
      </c>
      <c r="L468" s="17">
        <v>386840.5</v>
      </c>
      <c r="M468" s="17">
        <v>330575.18999999994</v>
      </c>
      <c r="O468" s="17">
        <f>SUM(B468:M468)</f>
        <v>3258131.36</v>
      </c>
      <c r="P468" s="20"/>
    </row>
    <row r="469" spans="1:16" ht="15.75" customHeight="1">
      <c r="A469" s="16" t="s">
        <v>19</v>
      </c>
      <c r="B469" s="17">
        <v>6437.69</v>
      </c>
      <c r="C469" s="17">
        <v>4629.09</v>
      </c>
      <c r="D469" s="31">
        <v>6428.16</v>
      </c>
      <c r="E469" s="17">
        <v>6928.3200000000006</v>
      </c>
      <c r="F469" s="17">
        <v>6191.4</v>
      </c>
      <c r="G469" s="17">
        <v>11781.319999999998</v>
      </c>
      <c r="H469" s="17">
        <v>14299.449999999999</v>
      </c>
      <c r="I469" s="17">
        <v>14011.120000000003</v>
      </c>
      <c r="J469" s="17">
        <v>16285.180000000002</v>
      </c>
      <c r="K469" s="18">
        <v>18871.440000000002</v>
      </c>
      <c r="L469" s="17">
        <v>16118.349999999999</v>
      </c>
      <c r="M469" s="17">
        <v>13773.99</v>
      </c>
      <c r="O469" s="17">
        <f>SUM(B469:M469)</f>
        <v>135755.50999999998</v>
      </c>
      <c r="P469" s="20"/>
    </row>
    <row r="470" spans="1:16" ht="15.75" customHeight="1">
      <c r="A470" s="25" t="s">
        <v>24</v>
      </c>
      <c r="B470" s="12">
        <v>117.2</v>
      </c>
      <c r="C470" s="12">
        <v>117.8</v>
      </c>
      <c r="D470" s="35">
        <v>118</v>
      </c>
      <c r="E470" s="12">
        <v>116.43333333333334</v>
      </c>
      <c r="F470" s="12">
        <v>115</v>
      </c>
      <c r="G470" s="12">
        <v>109.2</v>
      </c>
      <c r="H470" s="12">
        <v>112</v>
      </c>
      <c r="I470" s="12">
        <v>119.8</v>
      </c>
      <c r="J470" s="12">
        <v>121.8</v>
      </c>
      <c r="K470" s="13">
        <v>123</v>
      </c>
      <c r="L470" s="12">
        <v>121</v>
      </c>
      <c r="M470" s="12">
        <v>121</v>
      </c>
      <c r="O470" s="17"/>
      <c r="P470" s="20"/>
    </row>
    <row r="471" spans="1:16" ht="15.75" customHeight="1">
      <c r="A471" s="26" t="s">
        <v>17</v>
      </c>
      <c r="B471" s="17">
        <v>3009897.0900000003</v>
      </c>
      <c r="C471" s="17">
        <v>3111863.46</v>
      </c>
      <c r="D471" s="31">
        <v>2581270.1800000002</v>
      </c>
      <c r="E471" s="17">
        <v>3005218.99</v>
      </c>
      <c r="F471" s="17">
        <v>2833389</v>
      </c>
      <c r="G471" s="17">
        <v>2747887.7</v>
      </c>
      <c r="H471" s="17">
        <v>2596063.16</v>
      </c>
      <c r="I471" s="17">
        <v>2686502</v>
      </c>
      <c r="J471" s="17">
        <v>2980687.8000000003</v>
      </c>
      <c r="K471" s="18">
        <v>2927822.44</v>
      </c>
      <c r="L471" s="17">
        <v>2567884.5700000003</v>
      </c>
      <c r="M471" s="17">
        <v>2491231.1399999997</v>
      </c>
      <c r="O471" s="17">
        <f>SUM(B471:M471)</f>
        <v>33539717.530000005</v>
      </c>
      <c r="P471" s="20"/>
    </row>
    <row r="472" spans="1:16" ht="15.75" customHeight="1">
      <c r="A472" s="16" t="s">
        <v>18</v>
      </c>
      <c r="B472" s="17">
        <v>421385.63</v>
      </c>
      <c r="C472" s="17">
        <v>435660.88</v>
      </c>
      <c r="D472" s="31">
        <v>361377.84</v>
      </c>
      <c r="E472" s="17">
        <v>420730.63999999996</v>
      </c>
      <c r="F472" s="17">
        <v>396674.4599999999</v>
      </c>
      <c r="G472" s="17">
        <v>384704.3</v>
      </c>
      <c r="H472" s="17">
        <v>363448.87</v>
      </c>
      <c r="I472" s="17">
        <v>376110.29000000004</v>
      </c>
      <c r="J472" s="17">
        <v>417296.33999999997</v>
      </c>
      <c r="K472" s="18">
        <v>409895.1</v>
      </c>
      <c r="L472" s="17">
        <v>359503.83</v>
      </c>
      <c r="M472" s="17">
        <v>348772.38</v>
      </c>
      <c r="O472" s="17">
        <f>SUM(B472:M472)</f>
        <v>4695560.5599999996</v>
      </c>
      <c r="P472" s="20"/>
    </row>
    <row r="473" spans="1:16" ht="15.75" customHeight="1">
      <c r="A473" s="26" t="s">
        <v>19</v>
      </c>
      <c r="B473" s="17">
        <v>60197.929999999993</v>
      </c>
      <c r="C473" s="17">
        <v>62237.31</v>
      </c>
      <c r="D473" s="31">
        <v>51625.43</v>
      </c>
      <c r="E473" s="17">
        <v>60104.409999999996</v>
      </c>
      <c r="F473" s="17">
        <v>56667.74</v>
      </c>
      <c r="G473" s="17">
        <v>54957.78</v>
      </c>
      <c r="H473" s="17">
        <v>51921.24</v>
      </c>
      <c r="I473" s="17">
        <v>53730.029999999992</v>
      </c>
      <c r="J473" s="17">
        <v>59613.759999999995</v>
      </c>
      <c r="K473" s="18">
        <v>58556.44</v>
      </c>
      <c r="L473" s="17">
        <v>51357.72</v>
      </c>
      <c r="M473" s="17">
        <v>49824.650000000009</v>
      </c>
      <c r="O473" s="17">
        <f>SUM(B473:M473)</f>
        <v>670794.43999999994</v>
      </c>
      <c r="P473" s="20"/>
    </row>
    <row r="474" spans="1:16" ht="20.25" customHeight="1">
      <c r="A474" s="11"/>
      <c r="B474" s="17"/>
      <c r="C474" s="12"/>
      <c r="D474" s="12"/>
      <c r="E474" s="12"/>
      <c r="F474" s="12"/>
      <c r="G474" s="17"/>
      <c r="I474" s="17"/>
      <c r="J474" s="17"/>
      <c r="K474" s="17"/>
      <c r="L474" s="17"/>
      <c r="M474" s="17"/>
      <c r="O474" s="17"/>
      <c r="P474" s="20"/>
    </row>
    <row r="475" spans="1:16" ht="20.25" customHeight="1">
      <c r="A475" s="16"/>
      <c r="B475" s="17"/>
      <c r="C475" s="17"/>
      <c r="D475" s="17"/>
      <c r="E475" s="17"/>
      <c r="F475" s="17"/>
      <c r="G475" s="17"/>
      <c r="I475" s="17"/>
      <c r="J475" s="17"/>
      <c r="K475" s="17"/>
      <c r="L475" s="17"/>
      <c r="M475" s="17"/>
      <c r="O475" s="17"/>
      <c r="P475" s="20"/>
    </row>
    <row r="476" spans="1:16" ht="20.25" customHeight="1">
      <c r="A476" s="16"/>
      <c r="B476" s="17"/>
      <c r="C476" s="17"/>
      <c r="D476" s="17"/>
      <c r="E476" s="17"/>
      <c r="F476" s="17"/>
      <c r="G476" s="17"/>
      <c r="I476" s="12"/>
      <c r="J476" s="12"/>
      <c r="K476" s="17"/>
      <c r="L476" s="17"/>
      <c r="M476" s="17"/>
      <c r="O476" s="17"/>
      <c r="P476" s="20"/>
    </row>
    <row r="477" spans="1:16" ht="20.25" customHeight="1">
      <c r="A477" s="16"/>
      <c r="B477" s="17"/>
      <c r="C477" s="17"/>
      <c r="D477" s="17"/>
      <c r="E477" s="17"/>
      <c r="F477" s="17"/>
      <c r="G477" s="17"/>
      <c r="I477" s="17"/>
      <c r="J477" s="17"/>
      <c r="K477" s="12"/>
      <c r="L477" s="12"/>
      <c r="M477" s="17"/>
      <c r="O477" s="17"/>
      <c r="P477" s="20"/>
    </row>
    <row r="478" spans="1:16" ht="20.25" customHeight="1">
      <c r="A478" s="11"/>
      <c r="B478" s="17"/>
      <c r="C478" s="17"/>
      <c r="D478" s="17"/>
      <c r="E478" s="17"/>
      <c r="F478" s="17"/>
      <c r="G478" s="17"/>
      <c r="I478" s="17"/>
      <c r="J478" s="17"/>
      <c r="K478" s="17"/>
      <c r="L478" s="17"/>
      <c r="M478" s="17"/>
      <c r="O478" s="17"/>
      <c r="P478" s="20"/>
    </row>
    <row r="479" spans="1:16" ht="20.25" customHeight="1">
      <c r="A479" s="16"/>
      <c r="B479" s="17"/>
      <c r="C479" s="17"/>
      <c r="D479" s="17"/>
      <c r="E479" s="17"/>
      <c r="F479" s="17"/>
      <c r="G479" s="17"/>
      <c r="I479" s="17"/>
      <c r="J479" s="17"/>
      <c r="K479" s="17"/>
      <c r="L479" s="17"/>
      <c r="M479" s="17"/>
      <c r="O479" s="17"/>
      <c r="P479" s="20"/>
    </row>
    <row r="480" spans="1:16" ht="20.25" customHeight="1">
      <c r="A480" s="16"/>
      <c r="B480" s="17"/>
      <c r="C480" s="17"/>
      <c r="D480" s="17"/>
      <c r="E480" s="17"/>
      <c r="F480" s="17"/>
      <c r="G480" s="17"/>
      <c r="I480" s="3"/>
      <c r="K480" s="17"/>
      <c r="L480" s="17"/>
      <c r="M480" s="17"/>
      <c r="O480" s="17"/>
      <c r="P480" s="20"/>
    </row>
    <row r="481" spans="1:16" ht="20.25" customHeight="1">
      <c r="A481" s="16"/>
      <c r="B481" s="17"/>
      <c r="C481" s="17"/>
      <c r="D481" s="17"/>
      <c r="E481" s="17"/>
      <c r="F481" s="17"/>
      <c r="G481" s="17"/>
      <c r="I481" s="3"/>
      <c r="M481" s="17"/>
      <c r="O481" s="17"/>
      <c r="P481" s="20"/>
    </row>
    <row r="482" spans="1:16" ht="20.25" customHeight="1">
      <c r="A482" s="11"/>
      <c r="I482" s="3"/>
      <c r="M482" s="17"/>
      <c r="P482" s="20"/>
    </row>
    <row r="483" spans="1:16" ht="20.25" customHeight="1">
      <c r="A483" s="16"/>
      <c r="B483" s="17"/>
      <c r="C483" s="17"/>
      <c r="D483" s="17"/>
      <c r="E483" s="17"/>
      <c r="F483" s="17"/>
      <c r="G483" s="17"/>
      <c r="H483" s="20"/>
      <c r="I483" s="3"/>
      <c r="M483" s="17"/>
      <c r="O483" s="17"/>
      <c r="P483" s="20"/>
    </row>
    <row r="484" spans="1:16" ht="20.25" customHeight="1">
      <c r="A484" s="16"/>
      <c r="B484" s="17"/>
      <c r="C484" s="17"/>
      <c r="D484" s="17"/>
      <c r="E484" s="17"/>
      <c r="F484" s="17"/>
      <c r="G484" s="17"/>
      <c r="I484" s="3"/>
      <c r="M484" s="17"/>
      <c r="O484" s="17"/>
      <c r="P484" s="20"/>
    </row>
    <row r="485" spans="1:16" ht="20.25" customHeight="1">
      <c r="A485" s="16"/>
      <c r="B485" s="17"/>
      <c r="C485" s="17"/>
      <c r="D485" s="17"/>
      <c r="E485" s="17"/>
      <c r="F485" s="17"/>
      <c r="G485" s="17"/>
      <c r="I485" s="3"/>
      <c r="M485" s="17"/>
      <c r="O485" s="17"/>
      <c r="P485" s="20"/>
    </row>
    <row r="486" spans="1:16" ht="20.25" customHeight="1">
      <c r="A486" s="11"/>
      <c r="I486" s="3"/>
      <c r="M486" s="17"/>
      <c r="P486" s="20"/>
    </row>
    <row r="487" spans="1:16" ht="20.25" customHeight="1">
      <c r="A487" s="16"/>
      <c r="B487" s="17"/>
      <c r="C487" s="17"/>
      <c r="D487" s="17"/>
      <c r="E487" s="17"/>
      <c r="F487" s="17"/>
      <c r="G487" s="17"/>
      <c r="I487" s="3"/>
      <c r="M487" s="17"/>
      <c r="O487" s="17"/>
      <c r="P487" s="20"/>
    </row>
    <row r="488" spans="1:16" ht="20.25" customHeight="1">
      <c r="A488" s="16"/>
      <c r="B488" s="17"/>
      <c r="C488" s="17"/>
      <c r="D488" s="17"/>
      <c r="E488" s="17"/>
      <c r="F488" s="17"/>
      <c r="G488" s="17"/>
      <c r="I488" s="3"/>
      <c r="M488" s="17"/>
      <c r="O488" s="17"/>
      <c r="P488" s="20"/>
    </row>
    <row r="489" spans="1:16" ht="20.25" customHeight="1">
      <c r="A489" s="16"/>
      <c r="B489" s="37"/>
      <c r="C489" s="37"/>
      <c r="D489" s="37"/>
      <c r="E489" s="37"/>
      <c r="F489" s="37"/>
      <c r="G489" s="37"/>
      <c r="I489" s="3"/>
      <c r="M489" s="37"/>
      <c r="O489" s="37"/>
      <c r="P489" s="20"/>
    </row>
    <row r="490" spans="1:16" ht="20.25" customHeight="1">
      <c r="A490" s="11"/>
      <c r="I490" s="3"/>
      <c r="M490" s="37"/>
      <c r="P490" s="20"/>
    </row>
    <row r="491" spans="1:16" ht="20.25" customHeight="1">
      <c r="A491" s="16"/>
      <c r="B491" s="37"/>
      <c r="C491" s="37"/>
      <c r="D491" s="37"/>
      <c r="E491" s="37"/>
      <c r="F491" s="37"/>
      <c r="G491" s="37"/>
      <c r="I491" s="3"/>
      <c r="M491" s="37"/>
      <c r="O491" s="37"/>
      <c r="P491" s="20"/>
    </row>
    <row r="492" spans="1:16" ht="20.25" customHeight="1">
      <c r="A492" s="16"/>
      <c r="B492" s="37"/>
      <c r="C492" s="37"/>
      <c r="D492" s="37"/>
      <c r="E492" s="37"/>
      <c r="F492" s="37"/>
      <c r="G492" s="37"/>
      <c r="I492" s="3"/>
      <c r="M492" s="37"/>
      <c r="O492" s="37"/>
    </row>
    <row r="493" spans="1:16" ht="20.25" customHeight="1">
      <c r="A493" s="16"/>
      <c r="B493" s="37"/>
      <c r="C493" s="37"/>
      <c r="D493" s="37"/>
      <c r="E493" s="37"/>
      <c r="F493" s="37"/>
      <c r="G493" s="37"/>
      <c r="I493" s="3"/>
      <c r="M493" s="37"/>
      <c r="O493" s="37"/>
    </row>
    <row r="494" spans="1:16" ht="20.25" customHeight="1">
      <c r="A494" s="25"/>
      <c r="I494" s="3"/>
      <c r="M494" s="37"/>
    </row>
    <row r="495" spans="1:16" ht="20.25" customHeight="1">
      <c r="A495" s="26"/>
      <c r="B495" s="37"/>
      <c r="C495" s="37"/>
      <c r="D495" s="37"/>
      <c r="E495" s="37"/>
      <c r="F495" s="37"/>
      <c r="G495" s="37"/>
      <c r="I495" s="3"/>
      <c r="M495" s="37"/>
      <c r="O495" s="37"/>
    </row>
    <row r="496" spans="1:16" ht="20.25" customHeight="1">
      <c r="A496" s="26"/>
      <c r="B496" s="37"/>
      <c r="C496" s="37"/>
      <c r="D496" s="37"/>
      <c r="E496" s="37"/>
      <c r="F496" s="37"/>
      <c r="G496" s="37"/>
      <c r="I496" s="3"/>
      <c r="M496" s="37"/>
      <c r="O496" s="37"/>
    </row>
    <row r="497" spans="1:15" ht="20.25" customHeight="1">
      <c r="A497" s="26"/>
      <c r="B497" s="37"/>
      <c r="C497" s="37"/>
      <c r="D497" s="37"/>
      <c r="E497" s="37"/>
      <c r="F497" s="37"/>
      <c r="G497" s="37"/>
      <c r="H497" s="5"/>
      <c r="I497" s="5"/>
      <c r="J497" s="5"/>
      <c r="M497" s="37"/>
      <c r="O497" s="37"/>
    </row>
    <row r="498" spans="1:15" ht="20.25" customHeight="1">
      <c r="B498" s="38"/>
      <c r="E498" s="37"/>
      <c r="F498" s="39"/>
      <c r="H498" s="38"/>
      <c r="I498" s="38"/>
      <c r="J498" s="38"/>
    </row>
    <row r="499" spans="1:15" ht="20.25" customHeight="1">
      <c r="B499" s="37"/>
      <c r="F499" s="39"/>
      <c r="H499" s="37"/>
      <c r="I499" s="37"/>
      <c r="J499" s="37"/>
    </row>
    <row r="500" spans="1:15" ht="20.25" customHeight="1">
      <c r="B500" s="37"/>
      <c r="C500" s="37"/>
      <c r="D500" s="37"/>
      <c r="E500" s="37"/>
      <c r="F500" s="37"/>
      <c r="G500" s="37"/>
      <c r="H500" s="37"/>
      <c r="I500" s="37"/>
      <c r="J500" s="37"/>
      <c r="O500" s="37"/>
    </row>
    <row r="501" spans="1:15" ht="20.25" customHeight="1">
      <c r="B501" s="37"/>
      <c r="C501" s="37"/>
      <c r="D501" s="37"/>
      <c r="E501" s="37"/>
      <c r="F501" s="37"/>
      <c r="G501" s="37"/>
      <c r="H501" s="37"/>
      <c r="I501" s="37"/>
      <c r="J501" s="37"/>
      <c r="O501" s="37"/>
    </row>
    <row r="502" spans="1:15" ht="20.25" customHeight="1">
      <c r="B502" s="20"/>
      <c r="C502" s="20"/>
      <c r="D502" s="20"/>
      <c r="E502" s="20"/>
      <c r="F502" s="20"/>
      <c r="G502" s="37"/>
      <c r="H502" s="38"/>
      <c r="I502" s="38"/>
      <c r="J502" s="38"/>
      <c r="O502" s="20"/>
    </row>
    <row r="503" spans="1:15" ht="20.25" customHeight="1">
      <c r="F503" s="39"/>
      <c r="H503" s="37"/>
      <c r="I503" s="37"/>
      <c r="J503" s="37"/>
    </row>
    <row r="504" spans="1:15" ht="20.25" customHeight="1">
      <c r="B504" s="37"/>
      <c r="C504" s="37"/>
      <c r="D504" s="37"/>
      <c r="E504" s="37"/>
      <c r="F504" s="37"/>
      <c r="G504" s="37"/>
      <c r="H504" s="37"/>
      <c r="I504" s="37"/>
      <c r="J504" s="37"/>
    </row>
    <row r="505" spans="1:15" ht="20.25" customHeight="1">
      <c r="B505" s="37"/>
      <c r="C505" s="37"/>
      <c r="D505" s="37"/>
      <c r="E505" s="37"/>
      <c r="F505" s="37"/>
      <c r="G505" s="37"/>
      <c r="H505" s="37"/>
      <c r="I505" s="37"/>
      <c r="J505" s="37"/>
    </row>
    <row r="506" spans="1:15" ht="20.25" customHeight="1">
      <c r="B506" s="37"/>
      <c r="C506" s="37"/>
      <c r="D506" s="37"/>
      <c r="E506" s="37"/>
      <c r="F506" s="37"/>
      <c r="G506" s="37"/>
      <c r="H506" s="38"/>
      <c r="I506" s="38"/>
      <c r="J506" s="38"/>
    </row>
    <row r="507" spans="1:15" ht="20.25" customHeight="1">
      <c r="F507" s="39"/>
      <c r="H507" s="37"/>
      <c r="I507" s="37"/>
      <c r="J507" s="37"/>
    </row>
    <row r="508" spans="1:15" ht="20.25" customHeight="1">
      <c r="B508" s="37"/>
      <c r="C508" s="37"/>
      <c r="D508" s="37"/>
      <c r="E508" s="37"/>
      <c r="F508" s="37"/>
      <c r="G508" s="37"/>
      <c r="H508" s="37"/>
      <c r="I508" s="37"/>
      <c r="J508" s="37"/>
    </row>
    <row r="509" spans="1:15" ht="20.25" customHeight="1">
      <c r="B509" s="37"/>
      <c r="C509" s="37"/>
      <c r="D509" s="37"/>
      <c r="E509" s="37"/>
      <c r="F509" s="37"/>
      <c r="G509" s="37"/>
      <c r="H509" s="37"/>
      <c r="I509" s="37"/>
      <c r="J509" s="37"/>
    </row>
    <row r="510" spans="1:15" ht="20.25" customHeight="1">
      <c r="B510" s="37"/>
      <c r="C510" s="37"/>
      <c r="D510" s="37"/>
      <c r="E510" s="37"/>
      <c r="F510" s="37"/>
      <c r="G510" s="37"/>
      <c r="H510" s="38"/>
      <c r="I510" s="38"/>
      <c r="J510" s="38"/>
    </row>
    <row r="511" spans="1:15" ht="20.25" customHeight="1">
      <c r="F511" s="39"/>
      <c r="H511" s="37"/>
      <c r="I511" s="37"/>
      <c r="J511" s="37"/>
    </row>
    <row r="512" spans="1:15" ht="20.25" customHeight="1">
      <c r="B512" s="37"/>
      <c r="C512" s="37"/>
      <c r="D512" s="37"/>
      <c r="E512" s="37"/>
      <c r="F512" s="37"/>
      <c r="G512" s="37"/>
      <c r="H512" s="37"/>
      <c r="I512" s="37"/>
      <c r="J512" s="37"/>
    </row>
    <row r="513" spans="2:10" ht="20.25" customHeight="1">
      <c r="B513" s="37"/>
      <c r="C513" s="37"/>
      <c r="D513" s="37"/>
      <c r="E513" s="37"/>
      <c r="F513" s="37"/>
      <c r="G513" s="37"/>
      <c r="H513" s="37"/>
      <c r="I513" s="37"/>
      <c r="J513" s="37"/>
    </row>
    <row r="514" spans="2:10" ht="20.25" customHeight="1">
      <c r="B514" s="37"/>
      <c r="C514" s="37"/>
      <c r="D514" s="37"/>
      <c r="E514" s="37"/>
      <c r="F514" s="37"/>
      <c r="G514" s="37"/>
      <c r="H514" s="38"/>
      <c r="I514" s="38"/>
      <c r="J514" s="38"/>
    </row>
    <row r="515" spans="2:10" ht="20.25" customHeight="1">
      <c r="F515" s="39"/>
      <c r="H515" s="37"/>
      <c r="I515" s="37"/>
      <c r="J515" s="37"/>
    </row>
    <row r="516" spans="2:10" ht="20.25" customHeight="1">
      <c r="B516" s="37"/>
      <c r="C516" s="37"/>
      <c r="D516" s="37"/>
      <c r="E516" s="37"/>
      <c r="F516" s="37"/>
      <c r="G516" s="37"/>
    </row>
    <row r="517" spans="2:10" ht="20.25" customHeight="1">
      <c r="B517" s="37"/>
      <c r="C517" s="37"/>
      <c r="D517" s="37"/>
      <c r="E517" s="37"/>
      <c r="F517" s="37"/>
      <c r="G517" s="37"/>
    </row>
    <row r="518" spans="2:10" ht="20.25" customHeight="1">
      <c r="B518" s="37"/>
      <c r="C518" s="37"/>
      <c r="D518" s="37"/>
      <c r="E518" s="37"/>
      <c r="F518" s="37"/>
      <c r="G518" s="37"/>
    </row>
    <row r="519" spans="2:10" ht="20.25" customHeight="1">
      <c r="F519" s="39"/>
    </row>
    <row r="520" spans="2:10" ht="20.25" customHeight="1">
      <c r="F520" s="39"/>
      <c r="I520" s="3"/>
    </row>
    <row r="521" spans="2:10" ht="20.25" customHeight="1">
      <c r="F521" s="39"/>
      <c r="I521" s="3"/>
    </row>
    <row r="522" spans="2:10" ht="20.25" customHeight="1">
      <c r="F522" s="39"/>
      <c r="I522" s="3"/>
    </row>
    <row r="523" spans="2:10" ht="20.25" customHeight="1">
      <c r="F523" s="39"/>
      <c r="I523" s="3"/>
    </row>
    <row r="524" spans="2:10" ht="20.25" customHeight="1">
      <c r="F524" s="39"/>
      <c r="I524" s="3"/>
    </row>
    <row r="525" spans="2:10" ht="20.25" customHeight="1">
      <c r="F525" s="39"/>
      <c r="I525" s="3"/>
    </row>
    <row r="526" spans="2:10" ht="20.25" customHeight="1">
      <c r="F526" s="39"/>
      <c r="I526" s="3"/>
    </row>
    <row r="527" spans="2:10" ht="20.25" customHeight="1">
      <c r="F527" s="39"/>
      <c r="I527" s="3"/>
    </row>
    <row r="528" spans="2:10" ht="20.25" customHeight="1">
      <c r="F528" s="39"/>
      <c r="I528" s="3"/>
    </row>
    <row r="529" spans="6:9" ht="20.25" customHeight="1">
      <c r="F529" s="39"/>
      <c r="I529" s="3"/>
    </row>
    <row r="530" spans="6:9" ht="20.25" customHeight="1">
      <c r="F530" s="39"/>
      <c r="I530" s="3"/>
    </row>
    <row r="531" spans="6:9" ht="20.25" customHeight="1">
      <c r="F531" s="39"/>
      <c r="I531" s="3"/>
    </row>
    <row r="532" spans="6:9" ht="20.25" customHeight="1">
      <c r="F532" s="39"/>
      <c r="I532" s="3"/>
    </row>
    <row r="533" spans="6:9" ht="20.25" customHeight="1">
      <c r="F533" s="39"/>
      <c r="I533" s="3"/>
    </row>
    <row r="534" spans="6:9" ht="20.25" customHeight="1">
      <c r="F534" s="39"/>
      <c r="I534" s="3"/>
    </row>
    <row r="535" spans="6:9" ht="20.25" customHeight="1">
      <c r="F535" s="39"/>
      <c r="I535" s="3"/>
    </row>
    <row r="536" spans="6:9" ht="20.25" customHeight="1">
      <c r="F536" s="39"/>
      <c r="I536" s="3"/>
    </row>
    <row r="537" spans="6:9" ht="20.25" customHeight="1">
      <c r="F537" s="39"/>
      <c r="I537" s="3"/>
    </row>
    <row r="538" spans="6:9" ht="20.25" customHeight="1">
      <c r="F538" s="39"/>
      <c r="I538" s="3"/>
    </row>
    <row r="539" spans="6:9" ht="20.25" customHeight="1">
      <c r="F539" s="39"/>
      <c r="I539" s="3"/>
    </row>
    <row r="540" spans="6:9" ht="20.25" customHeight="1">
      <c r="F540" s="39"/>
      <c r="I540" s="3"/>
    </row>
    <row r="541" spans="6:9" ht="20.25" customHeight="1">
      <c r="F541" s="39"/>
      <c r="I541" s="3"/>
    </row>
    <row r="542" spans="6:9">
      <c r="F542" s="39"/>
      <c r="I542" s="3"/>
    </row>
    <row r="543" spans="6:9">
      <c r="F543" s="39"/>
      <c r="I543" s="3"/>
    </row>
    <row r="544" spans="6:9">
      <c r="F544" s="39"/>
      <c r="I544" s="3"/>
    </row>
    <row r="545" spans="6:9">
      <c r="F545" s="39"/>
      <c r="I545" s="3"/>
    </row>
    <row r="546" spans="6:9">
      <c r="F546" s="39"/>
      <c r="I546" s="3"/>
    </row>
    <row r="547" spans="6:9">
      <c r="F547" s="39"/>
      <c r="I547" s="3"/>
    </row>
    <row r="548" spans="6:9">
      <c r="F548" s="39"/>
      <c r="I548" s="3"/>
    </row>
    <row r="549" spans="6:9">
      <c r="F549" s="39"/>
      <c r="I549" s="3"/>
    </row>
    <row r="550" spans="6:9">
      <c r="F550" s="39"/>
      <c r="I550" s="3"/>
    </row>
    <row r="551" spans="6:9">
      <c r="F551" s="39"/>
      <c r="I551" s="3"/>
    </row>
    <row r="552" spans="6:9">
      <c r="F552" s="39"/>
      <c r="I552" s="3"/>
    </row>
    <row r="553" spans="6:9">
      <c r="F553" s="39"/>
      <c r="I553" s="3"/>
    </row>
    <row r="554" spans="6:9">
      <c r="F554" s="39"/>
      <c r="I554" s="3"/>
    </row>
    <row r="555" spans="6:9">
      <c r="F555" s="39"/>
      <c r="I555" s="3"/>
    </row>
    <row r="556" spans="6:9">
      <c r="F556" s="39"/>
      <c r="I556" s="3"/>
    </row>
    <row r="557" spans="6:9">
      <c r="F557" s="39"/>
      <c r="I557" s="3"/>
    </row>
    <row r="558" spans="6:9">
      <c r="F558" s="39"/>
      <c r="I558" s="3"/>
    </row>
    <row r="559" spans="6:9">
      <c r="F559" s="39"/>
      <c r="I559" s="3"/>
    </row>
    <row r="560" spans="6:9">
      <c r="F560" s="39"/>
      <c r="I560" s="3"/>
    </row>
    <row r="561" spans="6:9">
      <c r="F561" s="39"/>
      <c r="I561" s="3"/>
    </row>
    <row r="562" spans="6:9">
      <c r="F562" s="39"/>
      <c r="I562" s="3"/>
    </row>
    <row r="563" spans="6:9">
      <c r="F563" s="39"/>
      <c r="I563" s="3"/>
    </row>
    <row r="564" spans="6:9">
      <c r="F564" s="39"/>
      <c r="I564" s="3"/>
    </row>
    <row r="565" spans="6:9">
      <c r="F565" s="39"/>
      <c r="I565" s="3"/>
    </row>
    <row r="566" spans="6:9">
      <c r="F566" s="39"/>
      <c r="I566" s="3"/>
    </row>
    <row r="567" spans="6:9">
      <c r="F567" s="39"/>
      <c r="I567" s="3"/>
    </row>
    <row r="568" spans="6:9">
      <c r="F568" s="39"/>
      <c r="I568" s="3"/>
    </row>
    <row r="569" spans="6:9">
      <c r="F569" s="39"/>
      <c r="I569" s="3"/>
    </row>
    <row r="570" spans="6:9">
      <c r="F570" s="39"/>
      <c r="I570" s="3"/>
    </row>
    <row r="571" spans="6:9">
      <c r="F571" s="39"/>
      <c r="I571" s="3"/>
    </row>
    <row r="572" spans="6:9">
      <c r="F572" s="39"/>
      <c r="I572" s="3"/>
    </row>
    <row r="573" spans="6:9">
      <c r="F573" s="39"/>
      <c r="I573" s="3"/>
    </row>
    <row r="574" spans="6:9">
      <c r="F574" s="39"/>
      <c r="I574" s="3"/>
    </row>
    <row r="575" spans="6:9">
      <c r="F575" s="39"/>
      <c r="I575" s="3"/>
    </row>
  </sheetData>
  <mergeCells count="2">
    <mergeCell ref="A3:G3"/>
    <mergeCell ref="H3:N3"/>
  </mergeCells>
  <pageMargins left="0.38" right="0.25" top="0.5" bottom="0.49" header="0.5" footer="0.5"/>
  <pageSetup scale="55" orientation="landscape" r:id="rId1"/>
  <headerFooter alignWithMargins="0"/>
  <rowBreaks count="5" manualBreakCount="5">
    <brk id="56" max="16383" man="1"/>
    <brk id="108" max="15" man="1"/>
    <brk id="160" max="15" man="1"/>
    <brk id="212" max="15" man="1"/>
    <brk id="264" max="15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A625-280A-4088-9414-8589DF5CA257}">
  <dimension ref="A1:K342"/>
  <sheetViews>
    <sheetView view="pageBreakPreview" zoomScale="60" zoomScaleNormal="100" workbookViewId="0">
      <selection activeCell="A13" sqref="A13"/>
    </sheetView>
  </sheetViews>
  <sheetFormatPr defaultColWidth="9.140625" defaultRowHeight="15.75"/>
  <cols>
    <col min="1" max="1" width="116.85546875" style="3" customWidth="1"/>
    <col min="2" max="2" width="19.28515625" style="3" customWidth="1"/>
    <col min="3" max="3" width="24" style="3" customWidth="1"/>
    <col min="4" max="4" width="30.28515625" style="3" customWidth="1"/>
    <col min="5" max="5" width="18.5703125" style="3" customWidth="1"/>
    <col min="6" max="6" width="25.140625" style="3" customWidth="1"/>
    <col min="7" max="7" width="9.140625" style="3"/>
    <col min="8" max="8" width="12.7109375" style="3" customWidth="1"/>
    <col min="9" max="16384" width="9.140625" style="3"/>
  </cols>
  <sheetData>
    <row r="1" spans="1:11" ht="60" customHeight="1">
      <c r="A1" s="40" t="s">
        <v>42</v>
      </c>
      <c r="B1" s="41"/>
      <c r="C1" s="41"/>
      <c r="D1" s="41"/>
      <c r="E1" s="41"/>
      <c r="F1" s="41"/>
    </row>
    <row r="2" spans="1:11" ht="50.1" customHeight="1">
      <c r="A2" s="42" t="s">
        <v>43</v>
      </c>
      <c r="B2" s="41"/>
      <c r="C2" s="41"/>
      <c r="D2" s="41"/>
      <c r="E2" s="41"/>
      <c r="F2" s="41"/>
    </row>
    <row r="3" spans="1:11" ht="83.25" customHeight="1">
      <c r="A3" s="51" t="s">
        <v>44</v>
      </c>
      <c r="B3" s="52"/>
      <c r="C3" s="52"/>
      <c r="D3" s="52"/>
      <c r="E3" s="52"/>
      <c r="F3" s="52"/>
    </row>
    <row r="4" spans="1:11" ht="35.1" customHeight="1">
      <c r="A4" s="53" t="s">
        <v>45</v>
      </c>
      <c r="B4" s="53"/>
      <c r="C4" s="53"/>
      <c r="D4" s="53"/>
      <c r="E4" s="53"/>
      <c r="F4" s="53"/>
    </row>
    <row r="5" spans="1:11" ht="35.1" customHeight="1">
      <c r="A5" s="53" t="s">
        <v>46</v>
      </c>
      <c r="B5" s="54"/>
      <c r="C5" s="54"/>
      <c r="D5" s="54"/>
      <c r="E5" s="54"/>
      <c r="F5" s="54"/>
    </row>
    <row r="6" spans="1:11" ht="50.1" customHeight="1">
      <c r="A6" s="51" t="s">
        <v>47</v>
      </c>
      <c r="B6" s="52"/>
      <c r="C6" s="52"/>
      <c r="D6" s="52"/>
      <c r="E6" s="52"/>
      <c r="F6" s="52"/>
    </row>
    <row r="7" spans="1:11" ht="50.1" customHeight="1">
      <c r="A7" s="51"/>
      <c r="B7" s="52"/>
      <c r="C7" s="52"/>
      <c r="D7" s="52"/>
      <c r="E7" s="52"/>
      <c r="F7" s="52"/>
      <c r="K7" s="43"/>
    </row>
    <row r="8" spans="1:11">
      <c r="D8" s="3" t="s">
        <v>48</v>
      </c>
      <c r="K8" s="43"/>
    </row>
    <row r="9" spans="1:11">
      <c r="K9" s="43"/>
    </row>
    <row r="10" spans="1:11">
      <c r="K10" s="43"/>
    </row>
    <row r="11" spans="1:11" ht="21" customHeight="1">
      <c r="C11" s="45"/>
      <c r="K11" s="43"/>
    </row>
    <row r="12" spans="1:11">
      <c r="K12" s="43"/>
    </row>
    <row r="13" spans="1:11">
      <c r="K13" s="43"/>
    </row>
    <row r="14" spans="1:11">
      <c r="K14" s="43"/>
    </row>
    <row r="15" spans="1:11" ht="21" customHeight="1">
      <c r="C15" s="45"/>
      <c r="K15" s="43"/>
    </row>
    <row r="16" spans="1:11">
      <c r="K16" s="43"/>
    </row>
    <row r="17" spans="3:11">
      <c r="K17" s="43"/>
    </row>
    <row r="18" spans="3:11">
      <c r="K18" s="43"/>
    </row>
    <row r="19" spans="3:11" ht="17.25" customHeight="1">
      <c r="C19" s="45">
        <v>0</v>
      </c>
      <c r="K19" s="43"/>
    </row>
    <row r="20" spans="3:11">
      <c r="K20" s="43"/>
    </row>
    <row r="21" spans="3:11">
      <c r="K21" s="43"/>
    </row>
    <row r="22" spans="3:11">
      <c r="K22" s="43"/>
    </row>
    <row r="23" spans="3:11" ht="21" customHeight="1">
      <c r="C23" s="45">
        <v>0</v>
      </c>
      <c r="K23" s="43"/>
    </row>
    <row r="24" spans="3:11">
      <c r="K24" s="43"/>
    </row>
    <row r="25" spans="3:11">
      <c r="K25" s="43"/>
    </row>
    <row r="26" spans="3:11">
      <c r="K26" s="43"/>
    </row>
    <row r="27" spans="3:11" ht="21" customHeight="1">
      <c r="C27" s="45"/>
      <c r="K27" s="43"/>
    </row>
    <row r="28" spans="3:11">
      <c r="K28" s="43"/>
    </row>
    <row r="29" spans="3:11">
      <c r="K29" s="43"/>
    </row>
    <row r="30" spans="3:11">
      <c r="K30" s="43"/>
    </row>
    <row r="31" spans="3:11">
      <c r="K31" s="43"/>
    </row>
    <row r="32" spans="3:11">
      <c r="K32" s="43"/>
    </row>
    <row r="33" spans="3:11">
      <c r="C33" s="3">
        <v>145.80000000000001</v>
      </c>
      <c r="K33" s="43"/>
    </row>
    <row r="34" spans="3:11">
      <c r="C34" s="3">
        <v>14489756.52</v>
      </c>
      <c r="K34" s="43"/>
    </row>
    <row r="35" spans="3:11">
      <c r="C35" s="3">
        <v>2028565.9300000002</v>
      </c>
      <c r="K35" s="43"/>
    </row>
    <row r="36" spans="3:11">
      <c r="C36" s="3">
        <v>289795.14</v>
      </c>
      <c r="K36" s="43"/>
    </row>
    <row r="37" spans="3:11">
      <c r="C37" s="3">
        <v>48</v>
      </c>
      <c r="K37" s="43"/>
    </row>
    <row r="38" spans="3:11">
      <c r="C38" s="3">
        <v>0</v>
      </c>
      <c r="K38" s="43"/>
    </row>
    <row r="39" spans="3:11">
      <c r="C39" s="3">
        <v>0</v>
      </c>
      <c r="K39" s="43"/>
    </row>
    <row r="40" spans="3:11">
      <c r="C40" s="3">
        <v>0</v>
      </c>
      <c r="K40" s="43"/>
    </row>
    <row r="41" spans="3:11">
      <c r="C41" s="3">
        <v>92.8</v>
      </c>
      <c r="K41" s="43"/>
    </row>
    <row r="42" spans="3:11">
      <c r="C42" s="3">
        <v>13871678.460000001</v>
      </c>
      <c r="K42" s="43"/>
    </row>
    <row r="43" spans="3:11" ht="16.5" customHeight="1">
      <c r="C43" s="3">
        <v>1942034.99</v>
      </c>
      <c r="K43" s="43"/>
    </row>
    <row r="44" spans="3:11">
      <c r="C44" s="3">
        <v>277433.58</v>
      </c>
      <c r="K44" s="43"/>
    </row>
    <row r="45" spans="3:11">
      <c r="C45" s="3">
        <v>0</v>
      </c>
      <c r="K45" s="43"/>
    </row>
    <row r="46" spans="3:11">
      <c r="C46" s="3">
        <v>0</v>
      </c>
      <c r="K46" s="43"/>
    </row>
    <row r="47" spans="3:11" ht="16.5" customHeight="1">
      <c r="C47" s="3">
        <v>0</v>
      </c>
      <c r="K47" s="43"/>
    </row>
    <row r="48" spans="3:11">
      <c r="C48" s="3">
        <v>0</v>
      </c>
      <c r="K48" s="43"/>
    </row>
    <row r="49" spans="3:11">
      <c r="C49" s="3">
        <v>0</v>
      </c>
      <c r="K49" s="43"/>
    </row>
    <row r="50" spans="3:11">
      <c r="C50" s="3">
        <v>0</v>
      </c>
      <c r="K50" s="43"/>
    </row>
    <row r="51" spans="3:11" ht="16.5" customHeight="1">
      <c r="C51" s="3">
        <v>0</v>
      </c>
      <c r="K51" s="43"/>
    </row>
    <row r="52" spans="3:11">
      <c r="C52" s="3">
        <v>0</v>
      </c>
      <c r="K52" s="43"/>
    </row>
    <row r="53" spans="3:11">
      <c r="C53" s="3">
        <v>5</v>
      </c>
      <c r="K53" s="43"/>
    </row>
    <row r="54" spans="3:11">
      <c r="C54" s="3">
        <v>618078.05999999994</v>
      </c>
      <c r="K54" s="43"/>
    </row>
    <row r="55" spans="3:11">
      <c r="C55" s="3">
        <v>86530.94</v>
      </c>
      <c r="K55" s="43"/>
    </row>
    <row r="56" spans="3:11">
      <c r="C56" s="3">
        <v>12361.56</v>
      </c>
      <c r="K56" s="43"/>
    </row>
    <row r="57" spans="3:11">
      <c r="K57" s="43"/>
    </row>
    <row r="58" spans="3:11">
      <c r="K58" s="43"/>
    </row>
    <row r="59" spans="3:11">
      <c r="C59" s="3">
        <v>120</v>
      </c>
      <c r="D59" s="3" t="s">
        <v>49</v>
      </c>
      <c r="K59" s="43"/>
    </row>
    <row r="60" spans="3:11">
      <c r="C60" s="3">
        <v>5737446.4799999995</v>
      </c>
      <c r="K60" s="43"/>
    </row>
    <row r="61" spans="3:11">
      <c r="C61" s="3">
        <v>855830.80999999994</v>
      </c>
      <c r="K61" s="43"/>
    </row>
    <row r="62" spans="3:11">
      <c r="C62" s="3">
        <v>114748.92</v>
      </c>
      <c r="K62" s="43"/>
    </row>
    <row r="63" spans="3:11">
      <c r="C63" s="3">
        <v>27</v>
      </c>
      <c r="K63" s="43"/>
    </row>
    <row r="64" spans="3:11">
      <c r="C64" s="3">
        <v>0</v>
      </c>
      <c r="K64" s="43"/>
    </row>
    <row r="65" spans="3:11">
      <c r="C65" s="3">
        <v>0</v>
      </c>
      <c r="K65" s="43"/>
    </row>
    <row r="66" spans="3:11">
      <c r="C66" s="3">
        <v>0</v>
      </c>
      <c r="K66" s="43"/>
    </row>
    <row r="67" spans="3:11">
      <c r="C67" s="3">
        <v>84</v>
      </c>
      <c r="K67" s="43"/>
    </row>
    <row r="68" spans="3:11">
      <c r="C68" s="3">
        <v>5558591.4799999995</v>
      </c>
      <c r="K68" s="43"/>
    </row>
    <row r="69" spans="3:11">
      <c r="C69" s="3">
        <v>778202.8</v>
      </c>
      <c r="K69" s="43"/>
    </row>
    <row r="70" spans="3:11">
      <c r="C70" s="3">
        <v>111171.81999999999</v>
      </c>
      <c r="K70" s="43"/>
    </row>
    <row r="71" spans="3:11">
      <c r="C71" s="3">
        <v>0</v>
      </c>
      <c r="K71" s="43"/>
    </row>
    <row r="72" spans="3:11">
      <c r="C72" s="3">
        <v>0</v>
      </c>
      <c r="K72" s="43"/>
    </row>
    <row r="73" spans="3:11">
      <c r="C73" s="3">
        <v>0</v>
      </c>
      <c r="K73" s="43"/>
    </row>
    <row r="74" spans="3:11">
      <c r="C74" s="3">
        <v>0</v>
      </c>
      <c r="K74" s="43"/>
    </row>
    <row r="75" spans="3:11">
      <c r="C75" s="3">
        <v>4</v>
      </c>
      <c r="K75" s="43"/>
    </row>
    <row r="76" spans="3:11">
      <c r="C76" s="3">
        <v>154671.5</v>
      </c>
      <c r="K76" s="43"/>
    </row>
    <row r="77" spans="3:11">
      <c r="C77" s="3">
        <v>74242.320000000007</v>
      </c>
      <c r="K77" s="43"/>
    </row>
    <row r="78" spans="3:11">
      <c r="C78" s="3">
        <v>3093.43</v>
      </c>
      <c r="K78" s="43"/>
    </row>
    <row r="79" spans="3:11">
      <c r="C79" s="3">
        <v>5</v>
      </c>
      <c r="K79" s="43"/>
    </row>
    <row r="80" spans="3:11">
      <c r="C80" s="3">
        <v>24183.5</v>
      </c>
      <c r="H80" s="22"/>
      <c r="K80" s="43"/>
    </row>
    <row r="81" spans="3:11">
      <c r="C81" s="3">
        <v>3385.69</v>
      </c>
      <c r="H81" s="22"/>
      <c r="K81" s="43"/>
    </row>
    <row r="82" spans="3:11">
      <c r="C82" s="3">
        <v>483.66999999999996</v>
      </c>
      <c r="H82" s="22"/>
      <c r="K82" s="43"/>
    </row>
    <row r="83" spans="3:11">
      <c r="K83" s="43"/>
    </row>
    <row r="84" spans="3:11">
      <c r="K84" s="43"/>
    </row>
    <row r="85" spans="3:11">
      <c r="C85" s="3">
        <v>41</v>
      </c>
      <c r="K85" s="43"/>
    </row>
    <row r="86" spans="3:11">
      <c r="C86" s="3">
        <v>1542179.6900000002</v>
      </c>
      <c r="K86" s="43"/>
    </row>
    <row r="87" spans="3:11">
      <c r="C87" s="3">
        <v>215905.16</v>
      </c>
      <c r="K87" s="43"/>
    </row>
    <row r="88" spans="3:11">
      <c r="C88" s="3">
        <v>30843.589999999997</v>
      </c>
      <c r="K88" s="43"/>
    </row>
    <row r="89" spans="3:11">
      <c r="C89" s="3">
        <v>7</v>
      </c>
      <c r="K89" s="43"/>
    </row>
    <row r="90" spans="3:11">
      <c r="C90" s="3">
        <v>0</v>
      </c>
      <c r="K90" s="43"/>
    </row>
    <row r="91" spans="3:11" ht="20.25" customHeight="1">
      <c r="C91" s="3">
        <v>0</v>
      </c>
      <c r="K91" s="43"/>
    </row>
    <row r="92" spans="3:11">
      <c r="C92" s="3">
        <v>0</v>
      </c>
      <c r="K92" s="43"/>
    </row>
    <row r="93" spans="3:11" ht="19.5" customHeight="1">
      <c r="C93" s="3">
        <v>30</v>
      </c>
      <c r="K93" s="43"/>
    </row>
    <row r="94" spans="3:11">
      <c r="C94" s="3">
        <v>1435667.11</v>
      </c>
      <c r="K94" s="43"/>
    </row>
    <row r="95" spans="3:11" ht="19.5" customHeight="1">
      <c r="C95" s="3">
        <v>200993.4</v>
      </c>
      <c r="K95" s="43"/>
    </row>
    <row r="96" spans="3:11">
      <c r="C96" s="3">
        <v>28713.35</v>
      </c>
      <c r="K96" s="43"/>
    </row>
    <row r="97" spans="3:11" ht="19.5" customHeight="1">
      <c r="C97" s="3">
        <v>0</v>
      </c>
      <c r="K97" s="43"/>
    </row>
    <row r="98" spans="3:11">
      <c r="C98" s="3">
        <v>0</v>
      </c>
      <c r="K98" s="43"/>
    </row>
    <row r="99" spans="3:11" ht="19.5" customHeight="1">
      <c r="C99" s="3">
        <v>0</v>
      </c>
      <c r="K99" s="43"/>
    </row>
    <row r="100" spans="3:11">
      <c r="C100" s="3">
        <v>0</v>
      </c>
      <c r="K100" s="43"/>
    </row>
    <row r="101" spans="3:11" ht="20.25" customHeight="1">
      <c r="C101" s="3">
        <v>0</v>
      </c>
      <c r="K101" s="43"/>
    </row>
    <row r="102" spans="3:11">
      <c r="C102" s="3">
        <v>0</v>
      </c>
      <c r="K102" s="43"/>
    </row>
    <row r="103" spans="3:11" ht="21" customHeight="1">
      <c r="C103" s="3">
        <v>0</v>
      </c>
      <c r="K103" s="43"/>
    </row>
    <row r="104" spans="3:11">
      <c r="C104" s="3">
        <v>0</v>
      </c>
      <c r="K104" s="43"/>
    </row>
    <row r="105" spans="3:11">
      <c r="C105" s="3">
        <v>4</v>
      </c>
    </row>
    <row r="106" spans="3:11">
      <c r="C106" s="3">
        <v>106512.58</v>
      </c>
    </row>
    <row r="107" spans="3:11">
      <c r="C107" s="3">
        <v>14911.759999999998</v>
      </c>
    </row>
    <row r="108" spans="3:11">
      <c r="C108" s="3">
        <v>2130.2400000000002</v>
      </c>
    </row>
    <row r="109" spans="3:11">
      <c r="K109" s="43"/>
    </row>
    <row r="110" spans="3:11">
      <c r="K110" s="43"/>
    </row>
    <row r="111" spans="3:11">
      <c r="C111" s="3">
        <v>85</v>
      </c>
      <c r="K111" s="43"/>
    </row>
    <row r="112" spans="3:11">
      <c r="C112" s="3">
        <v>2344348.8199999998</v>
      </c>
      <c r="D112" s="3" t="s">
        <v>49</v>
      </c>
      <c r="K112" s="43"/>
    </row>
    <row r="113" spans="3:11" ht="18.75" customHeight="1">
      <c r="C113" s="3">
        <v>338409.87</v>
      </c>
      <c r="K113" s="43"/>
    </row>
    <row r="114" spans="3:11">
      <c r="C114" s="3">
        <v>46886.990000000005</v>
      </c>
      <c r="K114" s="43"/>
    </row>
    <row r="115" spans="3:11" ht="21" customHeight="1">
      <c r="C115" s="3">
        <v>14</v>
      </c>
      <c r="K115" s="43"/>
    </row>
    <row r="116" spans="3:11">
      <c r="C116" s="3">
        <v>0</v>
      </c>
      <c r="K116" s="43"/>
    </row>
    <row r="117" spans="3:11" ht="21" customHeight="1">
      <c r="C117" s="3">
        <v>0</v>
      </c>
      <c r="K117" s="43"/>
    </row>
    <row r="118" spans="3:11">
      <c r="C118" s="3">
        <v>0</v>
      </c>
      <c r="K118" s="43"/>
    </row>
    <row r="119" spans="3:11" ht="21" customHeight="1">
      <c r="C119" s="3">
        <v>67</v>
      </c>
      <c r="K119" s="43"/>
    </row>
    <row r="120" spans="3:11">
      <c r="C120" s="3">
        <v>2286365.2599999998</v>
      </c>
      <c r="K120" s="43"/>
    </row>
    <row r="121" spans="3:11" ht="19.5" customHeight="1">
      <c r="C121" s="3">
        <v>320091.15000000002</v>
      </c>
      <c r="K121" s="43"/>
    </row>
    <row r="122" spans="3:11">
      <c r="C122" s="3">
        <v>45727.32</v>
      </c>
      <c r="K122" s="43"/>
    </row>
    <row r="123" spans="3:11" ht="20.25" customHeight="1">
      <c r="C123" s="3">
        <v>0</v>
      </c>
      <c r="K123" s="43"/>
    </row>
    <row r="124" spans="3:11">
      <c r="C124" s="3">
        <v>0</v>
      </c>
      <c r="K124" s="43"/>
    </row>
    <row r="125" spans="3:11" ht="19.5" customHeight="1">
      <c r="C125" s="3">
        <v>0</v>
      </c>
      <c r="K125" s="43"/>
    </row>
    <row r="126" spans="3:11">
      <c r="C126" s="3">
        <v>0</v>
      </c>
      <c r="K126" s="43"/>
    </row>
    <row r="127" spans="3:11" ht="18.75" customHeight="1">
      <c r="C127" s="3">
        <v>2</v>
      </c>
      <c r="K127" s="43"/>
    </row>
    <row r="128" spans="3:11">
      <c r="C128" s="3">
        <v>30003</v>
      </c>
      <c r="K128" s="43"/>
    </row>
    <row r="129" spans="3:11" ht="20.25" customHeight="1">
      <c r="C129" s="3">
        <v>14401.44</v>
      </c>
      <c r="K129" s="43"/>
    </row>
    <row r="130" spans="3:11">
      <c r="C130" s="3">
        <v>600.05999999999995</v>
      </c>
      <c r="K130" s="43"/>
    </row>
    <row r="131" spans="3:11">
      <c r="C131" s="3">
        <v>2</v>
      </c>
    </row>
    <row r="132" spans="3:11">
      <c r="C132" s="3">
        <v>27980.559999999998</v>
      </c>
    </row>
    <row r="133" spans="3:11">
      <c r="C133" s="3">
        <v>3917.2799999999997</v>
      </c>
    </row>
    <row r="134" spans="3:11">
      <c r="C134" s="3">
        <v>559.61</v>
      </c>
    </row>
    <row r="135" spans="3:11">
      <c r="K135" s="43"/>
    </row>
    <row r="136" spans="3:11">
      <c r="K136" s="43"/>
    </row>
    <row r="137" spans="3:11">
      <c r="C137" s="3">
        <v>83</v>
      </c>
      <c r="K137" s="43"/>
    </row>
    <row r="138" spans="3:11">
      <c r="C138" s="3">
        <v>3867201.7099999995</v>
      </c>
      <c r="K138" s="43"/>
    </row>
    <row r="139" spans="3:11" ht="19.5" customHeight="1">
      <c r="C139" s="3">
        <v>541408.24</v>
      </c>
      <c r="K139" s="43"/>
    </row>
    <row r="140" spans="3:11">
      <c r="C140" s="3">
        <v>77344.040000000008</v>
      </c>
      <c r="K140" s="43"/>
    </row>
    <row r="141" spans="3:11" ht="18.75" customHeight="1">
      <c r="C141" s="3">
        <v>12</v>
      </c>
      <c r="K141" s="43"/>
    </row>
    <row r="142" spans="3:11">
      <c r="C142" s="3">
        <v>0</v>
      </c>
      <c r="K142" s="43"/>
    </row>
    <row r="143" spans="3:11" ht="19.5" customHeight="1">
      <c r="C143" s="3">
        <v>0</v>
      </c>
      <c r="K143" s="43"/>
    </row>
    <row r="144" spans="3:11">
      <c r="C144" s="3">
        <v>0</v>
      </c>
      <c r="K144" s="43"/>
    </row>
    <row r="145" spans="3:11" ht="21" customHeight="1">
      <c r="C145" s="3">
        <v>69</v>
      </c>
      <c r="K145" s="43"/>
    </row>
    <row r="146" spans="3:11">
      <c r="C146" s="3">
        <v>3674744.35</v>
      </c>
      <c r="K146" s="43"/>
    </row>
    <row r="147" spans="3:11" ht="18.75" customHeight="1">
      <c r="C147" s="3">
        <v>514464.20999999996</v>
      </c>
      <c r="K147" s="43"/>
    </row>
    <row r="148" spans="3:11">
      <c r="C148" s="3">
        <v>73494.890000000014</v>
      </c>
      <c r="K148" s="43"/>
    </row>
    <row r="149" spans="3:11" ht="18.75" customHeight="1">
      <c r="C149" s="3">
        <v>0</v>
      </c>
      <c r="K149" s="43"/>
    </row>
    <row r="150" spans="3:11">
      <c r="C150" s="3">
        <v>0</v>
      </c>
      <c r="K150" s="43"/>
    </row>
    <row r="151" spans="3:11" ht="18.75" customHeight="1">
      <c r="C151" s="3">
        <v>0</v>
      </c>
      <c r="K151" s="43"/>
    </row>
    <row r="152" spans="3:11">
      <c r="C152" s="3">
        <v>0</v>
      </c>
      <c r="K152" s="43"/>
    </row>
    <row r="153" spans="3:11" ht="21.75" customHeight="1">
      <c r="C153" s="3">
        <v>0</v>
      </c>
      <c r="K153" s="43"/>
    </row>
    <row r="154" spans="3:11">
      <c r="C154" s="3">
        <v>0</v>
      </c>
      <c r="K154" s="43"/>
    </row>
    <row r="155" spans="3:11" ht="19.5" customHeight="1">
      <c r="C155" s="3">
        <v>0</v>
      </c>
      <c r="K155" s="43"/>
    </row>
    <row r="156" spans="3:11">
      <c r="C156" s="3">
        <v>0</v>
      </c>
      <c r="K156" s="43"/>
    </row>
    <row r="157" spans="3:11">
      <c r="C157" s="3">
        <v>2</v>
      </c>
      <c r="K157" s="43"/>
    </row>
    <row r="158" spans="3:11">
      <c r="C158" s="3">
        <v>192457.36</v>
      </c>
      <c r="K158" s="43"/>
    </row>
    <row r="159" spans="3:11" ht="18" customHeight="1">
      <c r="C159" s="3">
        <v>26944.03</v>
      </c>
      <c r="K159" s="43"/>
    </row>
    <row r="160" spans="3:11">
      <c r="C160" s="3">
        <v>3849.1499999999996</v>
      </c>
      <c r="K160" s="43"/>
    </row>
    <row r="161" spans="3:11" ht="19.5" customHeight="1">
      <c r="C161" s="39"/>
      <c r="K161" s="43"/>
    </row>
    <row r="162" spans="3:11">
      <c r="K162" s="43"/>
    </row>
    <row r="163" spans="3:11" ht="21" customHeight="1">
      <c r="C163" s="3">
        <v>77</v>
      </c>
      <c r="K163" s="43"/>
    </row>
    <row r="164" spans="3:11">
      <c r="C164" s="3">
        <v>3049756.52</v>
      </c>
      <c r="K164" s="43"/>
    </row>
    <row r="165" spans="3:11" ht="19.5" customHeight="1">
      <c r="C165" s="3">
        <v>426965.91</v>
      </c>
      <c r="K165" s="43"/>
    </row>
    <row r="166" spans="3:11">
      <c r="C166" s="3">
        <v>60995.14</v>
      </c>
      <c r="K166" s="43"/>
    </row>
    <row r="167" spans="3:11" ht="20.25" customHeight="1">
      <c r="C167" s="3">
        <v>17</v>
      </c>
      <c r="K167" s="43"/>
    </row>
    <row r="168" spans="3:11">
      <c r="C168" s="3">
        <v>0</v>
      </c>
      <c r="K168" s="43"/>
    </row>
    <row r="169" spans="3:11" ht="20.25" customHeight="1">
      <c r="C169" s="3">
        <v>0</v>
      </c>
      <c r="K169" s="43"/>
    </row>
    <row r="170" spans="3:11">
      <c r="C170" s="3">
        <v>0</v>
      </c>
      <c r="K170" s="43"/>
    </row>
    <row r="171" spans="3:11" ht="20.25" customHeight="1">
      <c r="C171" s="3">
        <v>55</v>
      </c>
      <c r="K171" s="43"/>
    </row>
    <row r="172" spans="3:11">
      <c r="C172" s="3">
        <v>2977761.75</v>
      </c>
      <c r="K172" s="43"/>
    </row>
    <row r="173" spans="3:11" ht="19.5" customHeight="1">
      <c r="C173" s="3">
        <v>416886.64999999997</v>
      </c>
      <c r="K173" s="43"/>
    </row>
    <row r="174" spans="3:11">
      <c r="C174" s="3">
        <v>59555.24</v>
      </c>
      <c r="K174" s="43"/>
    </row>
    <row r="175" spans="3:11" ht="19.5" customHeight="1">
      <c r="C175" s="3">
        <v>0</v>
      </c>
      <c r="K175" s="43"/>
    </row>
    <row r="176" spans="3:11">
      <c r="C176" s="3">
        <v>0</v>
      </c>
      <c r="K176" s="43"/>
    </row>
    <row r="177" spans="1:11" ht="20.25" customHeight="1">
      <c r="C177" s="3">
        <v>0</v>
      </c>
      <c r="K177" s="43"/>
    </row>
    <row r="178" spans="1:11">
      <c r="C178" s="3">
        <v>0</v>
      </c>
      <c r="K178" s="43"/>
    </row>
    <row r="179" spans="1:11">
      <c r="C179" s="3">
        <v>0</v>
      </c>
      <c r="K179" s="43"/>
    </row>
    <row r="180" spans="1:11">
      <c r="C180" s="3">
        <v>0</v>
      </c>
      <c r="K180" s="43"/>
    </row>
    <row r="181" spans="1:11">
      <c r="C181" s="3">
        <v>0</v>
      </c>
      <c r="K181" s="43"/>
    </row>
    <row r="182" spans="1:11">
      <c r="C182" s="3">
        <v>0</v>
      </c>
      <c r="K182" s="43"/>
    </row>
    <row r="183" spans="1:11">
      <c r="C183" s="3">
        <v>5</v>
      </c>
      <c r="K183" s="43"/>
    </row>
    <row r="184" spans="1:11">
      <c r="C184" s="3">
        <v>71994.77</v>
      </c>
      <c r="K184" s="43"/>
    </row>
    <row r="185" spans="1:11" ht="18.75" customHeight="1">
      <c r="C185" s="3">
        <v>10079.259999999998</v>
      </c>
      <c r="K185" s="43"/>
    </row>
    <row r="186" spans="1:11">
      <c r="C186" s="3">
        <v>1439.8999999999999</v>
      </c>
      <c r="K186" s="43"/>
    </row>
    <row r="187" spans="1:11" ht="19.5" customHeight="1">
      <c r="K187" s="43"/>
    </row>
    <row r="188" spans="1:11">
      <c r="A188" s="3" t="s">
        <v>50</v>
      </c>
      <c r="K188" s="43"/>
    </row>
    <row r="189" spans="1:11" ht="21" customHeight="1">
      <c r="C189" s="3">
        <v>222</v>
      </c>
      <c r="K189" s="43"/>
    </row>
    <row r="190" spans="1:11">
      <c r="C190" s="3">
        <v>12815932.629999999</v>
      </c>
      <c r="K190" s="43"/>
    </row>
    <row r="191" spans="1:11" ht="19.5" customHeight="1">
      <c r="C191" s="3">
        <v>1794230.5800000003</v>
      </c>
      <c r="K191" s="43"/>
    </row>
    <row r="192" spans="1:11">
      <c r="C192" s="3">
        <v>256318.66</v>
      </c>
      <c r="K192" s="43"/>
    </row>
    <row r="193" spans="3:11" ht="20.25" customHeight="1">
      <c r="C193" s="3">
        <v>26</v>
      </c>
      <c r="K193" s="43"/>
    </row>
    <row r="194" spans="3:11">
      <c r="C194" s="3">
        <v>0</v>
      </c>
      <c r="K194" s="43"/>
    </row>
    <row r="195" spans="3:11" ht="20.25" customHeight="1">
      <c r="C195" s="3">
        <v>0</v>
      </c>
      <c r="K195" s="43"/>
    </row>
    <row r="196" spans="3:11">
      <c r="C196" s="3">
        <v>0</v>
      </c>
      <c r="K196" s="43"/>
    </row>
    <row r="197" spans="3:11" ht="18.75" customHeight="1">
      <c r="C197" s="3">
        <v>159</v>
      </c>
      <c r="K197" s="43"/>
    </row>
    <row r="198" spans="3:11">
      <c r="C198" s="3">
        <v>12068950.93</v>
      </c>
      <c r="K198" s="43"/>
    </row>
    <row r="199" spans="3:11" ht="19.5" customHeight="1">
      <c r="C199" s="3">
        <v>1689653.14</v>
      </c>
      <c r="K199" s="43"/>
    </row>
    <row r="200" spans="3:11">
      <c r="C200" s="3">
        <v>241379.02000000002</v>
      </c>
      <c r="K200" s="43"/>
    </row>
    <row r="201" spans="3:11" ht="19.5" customHeight="1">
      <c r="C201" s="3">
        <v>0</v>
      </c>
      <c r="K201" s="43"/>
    </row>
    <row r="202" spans="3:11">
      <c r="C202" s="3">
        <v>0</v>
      </c>
      <c r="K202" s="43"/>
    </row>
    <row r="203" spans="3:11" ht="18.75" customHeight="1">
      <c r="C203" s="3">
        <v>0</v>
      </c>
      <c r="K203" s="43"/>
    </row>
    <row r="204" spans="3:11">
      <c r="C204" s="3">
        <v>0</v>
      </c>
      <c r="K204" s="43"/>
    </row>
    <row r="205" spans="3:11">
      <c r="C205" s="3">
        <v>0</v>
      </c>
      <c r="K205" s="43"/>
    </row>
    <row r="206" spans="3:11">
      <c r="C206" s="3">
        <v>0</v>
      </c>
      <c r="K206" s="43"/>
    </row>
    <row r="207" spans="3:11">
      <c r="C207" s="3">
        <v>0</v>
      </c>
      <c r="K207" s="43"/>
    </row>
    <row r="208" spans="3:11">
      <c r="C208" s="3">
        <v>0</v>
      </c>
      <c r="K208" s="43"/>
    </row>
    <row r="209" spans="3:11">
      <c r="C209" s="3">
        <v>37</v>
      </c>
      <c r="K209" s="43"/>
    </row>
    <row r="210" spans="3:11">
      <c r="C210" s="3">
        <v>746981.7</v>
      </c>
      <c r="K210" s="43"/>
    </row>
    <row r="211" spans="3:11">
      <c r="C211" s="3">
        <v>104577.44</v>
      </c>
      <c r="K211" s="43"/>
    </row>
    <row r="212" spans="3:11">
      <c r="C212" s="3">
        <v>14939.640000000001</v>
      </c>
      <c r="K212" s="43"/>
    </row>
    <row r="213" spans="3:11" ht="19.5" customHeight="1">
      <c r="K213" s="43"/>
    </row>
    <row r="214" spans="3:11">
      <c r="K214" s="43"/>
    </row>
    <row r="215" spans="3:11" ht="19.5" customHeight="1">
      <c r="C215" s="3">
        <v>111</v>
      </c>
      <c r="K215" s="43"/>
    </row>
    <row r="216" spans="3:11">
      <c r="C216" s="3">
        <v>5438105.8900000006</v>
      </c>
      <c r="K216" s="43"/>
    </row>
    <row r="217" spans="3:11" ht="19.5" customHeight="1">
      <c r="C217" s="3">
        <v>761334.84</v>
      </c>
      <c r="K217" s="43"/>
    </row>
    <row r="218" spans="3:11">
      <c r="C218" s="3">
        <v>108762.13</v>
      </c>
      <c r="K218" s="43"/>
    </row>
    <row r="219" spans="3:11" ht="20.25" customHeight="1">
      <c r="C219" s="3">
        <v>0</v>
      </c>
      <c r="K219" s="43"/>
    </row>
    <row r="220" spans="3:11">
      <c r="C220" s="3">
        <v>0</v>
      </c>
      <c r="K220" s="43"/>
    </row>
    <row r="221" spans="3:11" ht="18.75" customHeight="1">
      <c r="C221" s="3">
        <v>0</v>
      </c>
      <c r="K221" s="43"/>
    </row>
    <row r="222" spans="3:11">
      <c r="C222" s="3">
        <v>0</v>
      </c>
      <c r="K222" s="43"/>
    </row>
    <row r="223" spans="3:11" ht="19.5" customHeight="1">
      <c r="C223" s="3">
        <v>100</v>
      </c>
      <c r="K223" s="43"/>
    </row>
    <row r="224" spans="3:11">
      <c r="C224" s="3">
        <v>5206329.1399999997</v>
      </c>
      <c r="K224" s="43"/>
    </row>
    <row r="225" spans="3:11" ht="20.25" customHeight="1">
      <c r="C225" s="3">
        <v>728886.09</v>
      </c>
      <c r="K225" s="43"/>
    </row>
    <row r="226" spans="3:11">
      <c r="C226" s="3">
        <v>104126.59</v>
      </c>
      <c r="K226" s="43"/>
    </row>
    <row r="227" spans="3:11" ht="20.25" customHeight="1">
      <c r="C227" s="3">
        <v>0</v>
      </c>
      <c r="K227" s="43"/>
    </row>
    <row r="228" spans="3:11">
      <c r="C228" s="3">
        <v>0</v>
      </c>
      <c r="K228" s="43"/>
    </row>
    <row r="229" spans="3:11" ht="19.5" customHeight="1">
      <c r="C229" s="3">
        <v>0</v>
      </c>
      <c r="K229" s="43"/>
    </row>
    <row r="230" spans="3:11">
      <c r="C230" s="3">
        <v>0</v>
      </c>
      <c r="K230" s="43"/>
    </row>
    <row r="231" spans="3:11">
      <c r="C231" s="3">
        <v>0</v>
      </c>
      <c r="K231" s="43"/>
    </row>
    <row r="232" spans="3:11">
      <c r="C232" s="3">
        <v>0</v>
      </c>
      <c r="K232" s="43"/>
    </row>
    <row r="233" spans="3:11">
      <c r="C233" s="3">
        <v>0</v>
      </c>
      <c r="K233" s="43"/>
    </row>
    <row r="234" spans="3:11">
      <c r="C234" s="3">
        <v>0</v>
      </c>
      <c r="K234" s="43"/>
    </row>
    <row r="235" spans="3:11">
      <c r="C235" s="3">
        <v>11</v>
      </c>
    </row>
    <row r="236" spans="3:11">
      <c r="C236" s="3">
        <v>231776.75</v>
      </c>
    </row>
    <row r="237" spans="3:11">
      <c r="C237" s="3">
        <v>32448.75</v>
      </c>
    </row>
    <row r="238" spans="3:11">
      <c r="C238" s="3">
        <v>4635.54</v>
      </c>
    </row>
    <row r="239" spans="3:11" ht="19.5" customHeight="1">
      <c r="K239" s="43"/>
    </row>
    <row r="240" spans="3:11" ht="16.5" customHeight="1">
      <c r="K240" s="43"/>
    </row>
    <row r="241" spans="3:11" ht="18.75" customHeight="1">
      <c r="C241" s="3">
        <v>147</v>
      </c>
      <c r="K241" s="43"/>
    </row>
    <row r="242" spans="3:11">
      <c r="C242" s="3">
        <v>9221733.4000000004</v>
      </c>
      <c r="K242" s="43"/>
    </row>
    <row r="243" spans="3:11" ht="18.75" customHeight="1">
      <c r="C243" s="3">
        <v>1291042.7</v>
      </c>
      <c r="K243" s="43"/>
    </row>
    <row r="244" spans="3:11">
      <c r="C244" s="3">
        <v>184434.68999999997</v>
      </c>
      <c r="K244" s="43"/>
    </row>
    <row r="245" spans="3:11" ht="19.5" customHeight="1">
      <c r="C245" s="3">
        <v>28</v>
      </c>
      <c r="K245" s="43"/>
    </row>
    <row r="246" spans="3:11">
      <c r="C246" s="3">
        <v>0</v>
      </c>
      <c r="K246" s="43"/>
    </row>
    <row r="247" spans="3:11" ht="19.5" customHeight="1">
      <c r="C247" s="3">
        <v>0</v>
      </c>
      <c r="K247" s="43"/>
    </row>
    <row r="248" spans="3:11">
      <c r="C248" s="3">
        <v>0</v>
      </c>
      <c r="K248" s="43"/>
    </row>
    <row r="249" spans="3:11" ht="18.75" customHeight="1">
      <c r="C249" s="3">
        <v>106</v>
      </c>
      <c r="K249" s="43"/>
    </row>
    <row r="250" spans="3:11">
      <c r="C250" s="3">
        <v>8529480.5</v>
      </c>
      <c r="K250" s="43"/>
    </row>
    <row r="251" spans="3:11" ht="18.75" customHeight="1">
      <c r="C251" s="3">
        <v>1194127.2899999998</v>
      </c>
      <c r="K251" s="43"/>
    </row>
    <row r="252" spans="3:11">
      <c r="C252" s="3">
        <v>170589.62999999998</v>
      </c>
      <c r="K252" s="43"/>
    </row>
    <row r="253" spans="3:11" ht="19.5" customHeight="1">
      <c r="C253" s="3">
        <v>0</v>
      </c>
      <c r="K253" s="43"/>
    </row>
    <row r="254" spans="3:11">
      <c r="C254" s="3">
        <v>0</v>
      </c>
      <c r="K254" s="43"/>
    </row>
    <row r="255" spans="3:11" ht="18.75" customHeight="1">
      <c r="C255" s="3">
        <v>0</v>
      </c>
      <c r="K255" s="43"/>
    </row>
    <row r="256" spans="3:11">
      <c r="C256" s="3">
        <v>0</v>
      </c>
      <c r="K256" s="43"/>
    </row>
    <row r="257" spans="3:11">
      <c r="C257" s="3">
        <v>0</v>
      </c>
      <c r="K257" s="43"/>
    </row>
    <row r="258" spans="3:11">
      <c r="C258" s="3">
        <v>0</v>
      </c>
      <c r="K258" s="43"/>
    </row>
    <row r="259" spans="3:11">
      <c r="C259" s="3">
        <v>0</v>
      </c>
      <c r="K259" s="43"/>
    </row>
    <row r="260" spans="3:11">
      <c r="C260" s="3">
        <v>0</v>
      </c>
      <c r="K260" s="43"/>
    </row>
    <row r="261" spans="3:11" ht="18.75" customHeight="1">
      <c r="C261" s="3">
        <v>13</v>
      </c>
      <c r="K261" s="43"/>
    </row>
    <row r="262" spans="3:11">
      <c r="C262" s="3">
        <v>692252.9</v>
      </c>
      <c r="K262" s="43"/>
    </row>
    <row r="263" spans="3:11" ht="18" customHeight="1">
      <c r="C263" s="3">
        <v>96915.41</v>
      </c>
      <c r="K263" s="43"/>
    </row>
    <row r="264" spans="3:11">
      <c r="C264" s="3">
        <v>13845.060000000001</v>
      </c>
      <c r="K264" s="43"/>
    </row>
    <row r="265" spans="3:11" ht="18.75" customHeight="1">
      <c r="K265" s="43"/>
    </row>
    <row r="266" spans="3:11">
      <c r="K266" s="43"/>
    </row>
    <row r="267" spans="3:11" ht="19.5" customHeight="1">
      <c r="C267" s="3">
        <v>49</v>
      </c>
      <c r="K267" s="43"/>
    </row>
    <row r="268" spans="3:11">
      <c r="C268" s="3">
        <v>3417918.06</v>
      </c>
      <c r="K268" s="43"/>
    </row>
    <row r="269" spans="3:11" ht="19.5" customHeight="1">
      <c r="C269" s="3">
        <v>478508.54</v>
      </c>
      <c r="K269" s="43"/>
    </row>
    <row r="270" spans="3:11">
      <c r="C270" s="3">
        <v>68358.37</v>
      </c>
      <c r="K270" s="43"/>
    </row>
    <row r="271" spans="3:11" ht="18.75" customHeight="1">
      <c r="C271" s="3">
        <v>0</v>
      </c>
      <c r="K271" s="43"/>
    </row>
    <row r="272" spans="3:11">
      <c r="C272" s="3">
        <v>0</v>
      </c>
      <c r="K272" s="43"/>
    </row>
    <row r="273" spans="3:11" ht="18.75" customHeight="1">
      <c r="C273" s="3">
        <v>0</v>
      </c>
      <c r="K273" s="43"/>
    </row>
    <row r="274" spans="3:11">
      <c r="C274" s="3">
        <v>0</v>
      </c>
      <c r="F274" s="44"/>
      <c r="K274" s="43"/>
    </row>
    <row r="275" spans="3:11" ht="18.75" customHeight="1">
      <c r="C275" s="3">
        <v>49</v>
      </c>
      <c r="K275" s="43"/>
    </row>
    <row r="276" spans="3:11">
      <c r="C276" s="3">
        <v>3417918.06</v>
      </c>
      <c r="K276" s="43"/>
    </row>
    <row r="277" spans="3:11" ht="19.5" customHeight="1">
      <c r="C277" s="3">
        <v>478508.54</v>
      </c>
      <c r="K277" s="43"/>
    </row>
    <row r="278" spans="3:11">
      <c r="C278" s="3">
        <v>68358.37</v>
      </c>
      <c r="K278" s="43"/>
    </row>
    <row r="279" spans="3:11">
      <c r="C279" s="3">
        <v>0</v>
      </c>
      <c r="K279" s="43"/>
    </row>
    <row r="280" spans="3:11">
      <c r="C280" s="3">
        <v>0</v>
      </c>
      <c r="K280" s="43"/>
    </row>
    <row r="281" spans="3:11">
      <c r="C281" s="3">
        <v>0</v>
      </c>
      <c r="K281" s="43"/>
    </row>
    <row r="282" spans="3:11">
      <c r="C282" s="3">
        <v>0</v>
      </c>
      <c r="K282" s="43"/>
    </row>
    <row r="283" spans="3:11" ht="19.5" customHeight="1">
      <c r="C283" s="3">
        <v>0</v>
      </c>
      <c r="K283" s="43"/>
    </row>
    <row r="284" spans="3:11">
      <c r="C284" s="3">
        <v>0</v>
      </c>
      <c r="K284" s="43"/>
    </row>
    <row r="285" spans="3:11" ht="18.75" customHeight="1">
      <c r="C285" s="3">
        <v>0</v>
      </c>
      <c r="K285" s="43"/>
    </row>
    <row r="286" spans="3:11">
      <c r="C286" s="3">
        <v>0</v>
      </c>
      <c r="K286" s="43"/>
    </row>
    <row r="287" spans="3:11">
      <c r="C287" s="3">
        <v>0</v>
      </c>
    </row>
    <row r="288" spans="3:11">
      <c r="C288" s="3">
        <v>0</v>
      </c>
    </row>
    <row r="289" spans="3:11">
      <c r="C289" s="3">
        <v>0</v>
      </c>
    </row>
    <row r="290" spans="3:11">
      <c r="C290" s="3">
        <v>0</v>
      </c>
    </row>
    <row r="291" spans="3:11" ht="18.75" customHeight="1">
      <c r="K291" s="43"/>
    </row>
    <row r="292" spans="3:11">
      <c r="K292" s="43"/>
    </row>
    <row r="293" spans="3:11" ht="18.75" customHeight="1">
      <c r="C293" s="3">
        <v>27</v>
      </c>
      <c r="D293" s="3" t="s">
        <v>49</v>
      </c>
      <c r="K293" s="43"/>
    </row>
    <row r="294" spans="3:11">
      <c r="C294" s="3">
        <v>222047</v>
      </c>
      <c r="K294" s="43"/>
    </row>
    <row r="295" spans="3:11" ht="19.5" customHeight="1">
      <c r="C295" s="3">
        <v>31086.58</v>
      </c>
      <c r="K295" s="43"/>
    </row>
    <row r="296" spans="3:11">
      <c r="C296" s="3">
        <v>4440.9399999999996</v>
      </c>
      <c r="K296" s="43"/>
    </row>
    <row r="297" spans="3:11" ht="18.75" customHeight="1">
      <c r="C297" s="3">
        <v>0</v>
      </c>
      <c r="K297" s="43"/>
    </row>
    <row r="298" spans="3:11">
      <c r="C298" s="3">
        <v>0</v>
      </c>
      <c r="K298" s="43"/>
    </row>
    <row r="299" spans="3:11" ht="18.75" customHeight="1">
      <c r="C299" s="3">
        <v>0</v>
      </c>
      <c r="K299" s="43"/>
    </row>
    <row r="300" spans="3:11">
      <c r="C300" s="3">
        <v>0</v>
      </c>
      <c r="K300" s="43"/>
    </row>
    <row r="301" spans="3:11" ht="18.75" customHeight="1">
      <c r="C301" s="3">
        <v>27</v>
      </c>
      <c r="K301" s="43"/>
    </row>
    <row r="302" spans="3:11">
      <c r="C302" s="3">
        <v>222047</v>
      </c>
      <c r="K302" s="43"/>
    </row>
    <row r="303" spans="3:11" ht="19.5" customHeight="1">
      <c r="C303" s="3">
        <v>31086.58</v>
      </c>
      <c r="K303" s="43"/>
    </row>
    <row r="304" spans="3:11">
      <c r="C304" s="3">
        <v>4440.9399999999996</v>
      </c>
      <c r="K304" s="43"/>
    </row>
    <row r="305" spans="3:11">
      <c r="C305" s="3">
        <v>0</v>
      </c>
      <c r="K305" s="43"/>
    </row>
    <row r="306" spans="3:11">
      <c r="C306" s="3">
        <v>0</v>
      </c>
      <c r="K306" s="43"/>
    </row>
    <row r="307" spans="3:11">
      <c r="C307" s="3">
        <v>0</v>
      </c>
      <c r="K307" s="43"/>
    </row>
    <row r="308" spans="3:11">
      <c r="C308" s="3">
        <v>0</v>
      </c>
      <c r="K308" s="43"/>
    </row>
    <row r="309" spans="3:11" ht="19.5" customHeight="1">
      <c r="C309" s="3">
        <v>0</v>
      </c>
      <c r="K309" s="43"/>
    </row>
    <row r="310" spans="3:11">
      <c r="C310" s="3">
        <v>0</v>
      </c>
      <c r="K310" s="43"/>
    </row>
    <row r="311" spans="3:11" ht="18.75" customHeight="1">
      <c r="C311" s="3">
        <v>0</v>
      </c>
      <c r="K311" s="43"/>
    </row>
    <row r="312" spans="3:11">
      <c r="C312" s="3">
        <v>0</v>
      </c>
      <c r="K312" s="43"/>
    </row>
    <row r="313" spans="3:11">
      <c r="C313" s="3">
        <v>0</v>
      </c>
    </row>
    <row r="314" spans="3:11">
      <c r="C314" s="3">
        <v>0</v>
      </c>
    </row>
    <row r="315" spans="3:11">
      <c r="C315" s="3">
        <v>0</v>
      </c>
    </row>
    <row r="316" spans="3:11">
      <c r="C316" s="3">
        <v>0</v>
      </c>
    </row>
    <row r="317" spans="3:11" ht="19.5" customHeight="1">
      <c r="K317" s="43"/>
    </row>
    <row r="318" spans="3:11">
      <c r="K318" s="43"/>
    </row>
    <row r="319" spans="3:11" ht="18.75" customHeight="1">
      <c r="C319" s="3">
        <v>1174.5999999999999</v>
      </c>
      <c r="K319" s="43"/>
    </row>
    <row r="320" spans="3:11">
      <c r="C320" s="3">
        <v>65119397.160000004</v>
      </c>
      <c r="K320" s="43"/>
    </row>
    <row r="321" spans="3:11" ht="20.25" customHeight="1">
      <c r="C321" s="3">
        <v>9179505.0199999996</v>
      </c>
      <c r="K321" s="43"/>
    </row>
    <row r="322" spans="3:11">
      <c r="C322" s="3">
        <v>1302388.02</v>
      </c>
      <c r="K322" s="43"/>
    </row>
    <row r="323" spans="3:11" ht="18.75" customHeight="1">
      <c r="C323" s="3">
        <v>185</v>
      </c>
      <c r="K323" s="43"/>
    </row>
    <row r="324" spans="3:11" ht="16.5" customHeight="1">
      <c r="C324" s="3">
        <v>0</v>
      </c>
      <c r="K324" s="43"/>
    </row>
    <row r="325" spans="3:11" ht="18.75" customHeight="1">
      <c r="C325" s="3">
        <v>0</v>
      </c>
      <c r="K325" s="43"/>
    </row>
    <row r="326" spans="3:11">
      <c r="C326" s="3">
        <v>0</v>
      </c>
      <c r="K326" s="43"/>
    </row>
    <row r="327" spans="3:11" ht="21" customHeight="1">
      <c r="C327" s="3">
        <v>895.6</v>
      </c>
      <c r="K327" s="43"/>
    </row>
    <row r="328" spans="3:11">
      <c r="C328" s="3">
        <v>61996054.239999995</v>
      </c>
      <c r="K328" s="43"/>
    </row>
    <row r="329" spans="3:11" ht="18.75" customHeight="1">
      <c r="C329" s="3">
        <v>8679447.6699999999</v>
      </c>
      <c r="K329" s="43"/>
    </row>
    <row r="330" spans="3:11">
      <c r="C330" s="3">
        <v>1239921.1599999997</v>
      </c>
      <c r="K330" s="43"/>
    </row>
    <row r="331" spans="3:11">
      <c r="C331" s="3">
        <v>0</v>
      </c>
      <c r="H331" s="43"/>
      <c r="I331" s="43"/>
      <c r="J331" s="43"/>
      <c r="K331" s="43"/>
    </row>
    <row r="332" spans="3:11">
      <c r="C332" s="3">
        <v>0</v>
      </c>
      <c r="K332" s="43"/>
    </row>
    <row r="333" spans="3:11">
      <c r="C333" s="3">
        <v>0</v>
      </c>
      <c r="K333" s="43"/>
    </row>
    <row r="334" spans="3:11">
      <c r="C334" s="3">
        <v>0</v>
      </c>
      <c r="K334" s="43"/>
    </row>
    <row r="335" spans="3:11">
      <c r="C335" s="3">
        <v>6</v>
      </c>
      <c r="K335" s="43"/>
    </row>
    <row r="336" spans="3:11">
      <c r="C336" s="3">
        <v>184674.5</v>
      </c>
      <c r="K336" s="43"/>
    </row>
    <row r="337" spans="3:11">
      <c r="C337" s="3">
        <v>88643.760000000009</v>
      </c>
      <c r="K337" s="43"/>
    </row>
    <row r="338" spans="3:11">
      <c r="C338" s="3">
        <v>3693.49</v>
      </c>
      <c r="K338" s="43"/>
    </row>
    <row r="339" spans="3:11">
      <c r="C339" s="3">
        <v>88</v>
      </c>
      <c r="K339" s="43"/>
    </row>
    <row r="340" spans="3:11">
      <c r="C340" s="3">
        <v>2938668.4200000004</v>
      </c>
      <c r="K340" s="43"/>
    </row>
    <row r="341" spans="3:11">
      <c r="C341" s="3">
        <v>411413.59</v>
      </c>
      <c r="K341" s="43"/>
    </row>
    <row r="342" spans="3:11">
      <c r="C342" s="3">
        <v>58773.37</v>
      </c>
      <c r="K342" s="43"/>
    </row>
  </sheetData>
  <mergeCells count="5">
    <mergeCell ref="A7:F7"/>
    <mergeCell ref="A3:F3"/>
    <mergeCell ref="A4:F4"/>
    <mergeCell ref="A5:F5"/>
    <mergeCell ref="A6:F6"/>
  </mergeCells>
  <pageMargins left="0.38" right="0.25" top="0.5" bottom="0.49" header="0.5" footer="0.5"/>
  <pageSetup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EE38FC34C5A84CB61B3312640A93C8" ma:contentTypeVersion="4" ma:contentTypeDescription="Create a new document." ma:contentTypeScope="" ma:versionID="b0490c3f6432093b0df49f97bc4a3c68">
  <xsd:schema xmlns:xsd="http://www.w3.org/2001/XMLSchema" xmlns:xs="http://www.w3.org/2001/XMLSchema" xmlns:p="http://schemas.microsoft.com/office/2006/metadata/properties" xmlns:ns2="07e1cbf5-a43a-413a-a9c9-f39c538e7f84" xmlns:ns3="65063ee1-b482-4537-9d56-a7fb7d1db885" targetNamespace="http://schemas.microsoft.com/office/2006/metadata/properties" ma:root="true" ma:fieldsID="1cfb290d3220735bcedd908db72233b8" ns2:_="" ns3:_="">
    <xsd:import namespace="07e1cbf5-a43a-413a-a9c9-f39c538e7f84"/>
    <xsd:import namespace="65063ee1-b482-4537-9d56-a7fb7d1db8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1cbf5-a43a-413a-a9c9-f39c538e7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63ee1-b482-4537-9d56-a7fb7d1db8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E8DFF4-EB9C-4AC0-94E8-46C67BA59C6B}"/>
</file>

<file path=customXml/itemProps2.xml><?xml version="1.0" encoding="utf-8"?>
<ds:datastoreItem xmlns:ds="http://schemas.openxmlformats.org/officeDocument/2006/customXml" ds:itemID="{2C735293-5D78-4A11-8848-ABECA9DC0DF1}"/>
</file>

<file path=customXml/itemProps3.xml><?xml version="1.0" encoding="utf-8"?>
<ds:datastoreItem xmlns:ds="http://schemas.openxmlformats.org/officeDocument/2006/customXml" ds:itemID="{4359C446-5273-46B1-8733-AB06CD58A5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Hand, Kristin (PGCB)</dc:creator>
  <cp:keywords/>
  <dc:description/>
  <cp:lastModifiedBy>Joe Nedved</cp:lastModifiedBy>
  <cp:revision/>
  <dcterms:created xsi:type="dcterms:W3CDTF">2019-08-13T12:45:45Z</dcterms:created>
  <dcterms:modified xsi:type="dcterms:W3CDTF">2024-03-08T19:05:57Z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0x010100C6EE38FC34C5A84CB61B3312640A93C8</vt:lpwstr>
  </property>
  <property fmtid="{D5CDD505-2E9C-101B-9397-08002B2CF9AE}" pid="3" name="Order">
    <vt:r8>5097000</vt:r8>
  </property>
</Properties>
</file>